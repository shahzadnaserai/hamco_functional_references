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amp; Legend" sheetId="1" state="visible" r:id="rId3"/>
    <sheet name="Rate Card Master (ERP)" sheetId="2" state="visible" r:id="rId4"/>
    <sheet name="Storage Rate Matrix" sheetId="3" state="visible" r:id="rId5"/>
    <sheet name="Review &amp; Corrections" sheetId="4" state="visible" r:id="rId6"/>
    <sheet name="Commercial Terms" sheetId="5" state="visible" r:id="rId7"/>
  </sheets>
  <definedNames>
    <definedName function="false" hidden="true" localSheetId="1" name="_xlnm._FilterDatabase" vbProcedure="false">'Rate Card Master (ERP)'!$A$7:$N$310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<sst xmlns="http://schemas.openxmlformats.org/spreadsheetml/2006/main" count="3399" uniqueCount="1285">
  <si>
    <t xml:space="preserve">3PL WAREHOUSING - MASTER CHARGE SCHEDULE</t>
  </si>
  <si>
    <t xml:space="preserve">ERP Quotation Master  |  Reviewed, Restructured &amp; Extended  |  Kingdom of Saudi Arabia</t>
  </si>
  <si>
    <t xml:space="preserve">DOCUMENT CONTROL</t>
  </si>
  <si>
    <t xml:space="preserve">Document Title</t>
  </si>
  <si>
    <t xml:space="preserve">3PL Warehousing Master Charge Schedule</t>
  </si>
  <si>
    <t xml:space="preserve">Purpose</t>
  </si>
  <si>
    <t xml:space="preserve">Charge master for ERP quotation module configuration</t>
  </si>
  <si>
    <t xml:space="preserve">Source Document</t>
  </si>
  <si>
    <t xml:space="preserve">warehousing_rates.xlsx (client supplied, 104 rows, single sheet)</t>
  </si>
  <si>
    <t xml:space="preserve">Currency</t>
  </si>
  <si>
    <t xml:space="preserve">SAR - Saudi Riyal</t>
  </si>
  <si>
    <t xml:space="preserve">VAT Rate (ZATCA)</t>
  </si>
  <si>
    <t xml:space="preserve">Quotation Validity</t>
  </si>
  <si>
    <t xml:space="preserve">30 days from date of issue</t>
  </si>
  <si>
    <t xml:space="preserve">Standard Working Hours</t>
  </si>
  <si>
    <t xml:space="preserve">08:00 - 17:00, Sunday to Thursday (8-hour shift)</t>
  </si>
  <si>
    <t xml:space="preserve">Weekend</t>
  </si>
  <si>
    <t xml:space="preserve">Friday &amp; Saturday</t>
  </si>
  <si>
    <t xml:space="preserve">Storage Billing Cycle</t>
  </si>
  <si>
    <t xml:space="preserve">Two cycles per month: 1st-15th and 16th-month end</t>
  </si>
  <si>
    <t xml:space="preserve">Payment Terms</t>
  </si>
  <si>
    <t xml:space="preserve">30 days net from invoice date (subject to credit approval)</t>
  </si>
  <si>
    <t xml:space="preserve">Total Charge Lines</t>
  </si>
  <si>
    <t xml:space="preserve">RATE STATUS LEGEND</t>
  </si>
  <si>
    <t xml:space="preserve">Status</t>
  </si>
  <si>
    <t xml:space="preserve">Meaning</t>
  </si>
  <si>
    <t xml:space="preserve">Action Required</t>
  </si>
  <si>
    <t xml:space="preserve">C  -  Client Provided</t>
  </si>
  <si>
    <t xml:space="preserve">Rate taken from your uploaded file with no change to the value.</t>
  </si>
  <si>
    <t xml:space="preserve">None - verify it is still current.</t>
  </si>
  <si>
    <t xml:space="preserve">X  -  Corrected</t>
  </si>
  <si>
    <t xml:space="preserve">The line existed but the rate, description or logic was wrong or internally inconsistent.</t>
  </si>
  <si>
    <t xml:space="preserve">Read the matching note on the 'Review &amp; Corrections' sheet, then approve.</t>
  </si>
  <si>
    <t xml:space="preserve">N  -  New - Confirm</t>
  </si>
  <si>
    <t xml:space="preserve">Charge head added during review. It did not exist in your file.</t>
  </si>
  <si>
    <t xml:space="preserve">Set your own commercial rate before go-live. Rates shown are market-indicative placeholders.</t>
  </si>
  <si>
    <t xml:space="preserve">COST HEAD STRUCTURE</t>
  </si>
  <si>
    <t xml:space="preserve">Cost Head</t>
  </si>
  <si>
    <t xml:space="preserve">Code Prefix</t>
  </si>
  <si>
    <t xml:space="preserve">Lines</t>
  </si>
  <si>
    <t xml:space="preserve">01 - Storage</t>
  </si>
  <si>
    <t xml:space="preserve">STO</t>
  </si>
  <si>
    <t xml:space="preserve">02 - Inbound Handling (Receiving)</t>
  </si>
  <si>
    <t xml:space="preserve">HIN</t>
  </si>
  <si>
    <t xml:space="preserve">03 - Outbound Handling (Dispatch)</t>
  </si>
  <si>
    <t xml:space="preserve">HOT</t>
  </si>
  <si>
    <t xml:space="preserve">04 - Cross Dock &amp; Transfer</t>
  </si>
  <si>
    <t xml:space="preserve">XDK</t>
  </si>
  <si>
    <t xml:space="preserve">05 - Value Added Services</t>
  </si>
  <si>
    <t xml:space="preserve">VAS</t>
  </si>
  <si>
    <t xml:space="preserve">06 - Packing Materials &amp; Consumables</t>
  </si>
  <si>
    <t xml:space="preserve">PKG</t>
  </si>
  <si>
    <t xml:space="preserve">07 - Equipment Hire</t>
  </si>
  <si>
    <t xml:space="preserve">EQP</t>
  </si>
  <si>
    <t xml:space="preserve">08 - Manpower</t>
  </si>
  <si>
    <t xml:space="preserve">MAN</t>
  </si>
  <si>
    <t xml:space="preserve">09 - Inventory Management</t>
  </si>
  <si>
    <t xml:space="preserve">INV</t>
  </si>
  <si>
    <t xml:space="preserve">10 - Documentation &amp; Administration</t>
  </si>
  <si>
    <t xml:space="preserve">DOC</t>
  </si>
  <si>
    <t xml:space="preserve">11 - Compliance, Licensing &amp; Customs</t>
  </si>
  <si>
    <t xml:space="preserve">CMP</t>
  </si>
  <si>
    <t xml:space="preserve">12 - Returns &amp; Reverse Logistics</t>
  </si>
  <si>
    <t xml:space="preserve">RET</t>
  </si>
  <si>
    <t xml:space="preserve">13 - Transport &amp; Distribution</t>
  </si>
  <si>
    <t xml:space="preserve">TRP</t>
  </si>
  <si>
    <t xml:space="preserve">14 - IT, WMS &amp; Onboarding</t>
  </si>
  <si>
    <t xml:space="preserve">ITS</t>
  </si>
  <si>
    <t xml:space="preserve">15 - Insurance &amp; Risk</t>
  </si>
  <si>
    <t xml:space="preserve">INS</t>
  </si>
  <si>
    <t xml:space="preserve">16 - Ancillary, Surcharges &amp; Penalties</t>
  </si>
  <si>
    <t xml:space="preserve">ANC</t>
  </si>
  <si>
    <t xml:space="preserve">NOTE ON PLACEHOLDER RATES:  Every line marked 'N - New - Confirm' carries a market-indicative placeholder rate so the ERP can be loaded and tested end to end. These are NOT quoted prices. Replace each one with your own costed rate before the schedule is issued to any customer.</t>
  </si>
  <si>
    <t xml:space="preserve">RATE CARD MASTER - ERP CHARGE CONFIGURATION</t>
  </si>
  <si>
    <t xml:space="preserve">All rates in SAR and exclusive of VAT unless the 'VAT Applicable' column reads 'No'. VAT and VAT-inclusive columns are live formulas driven by the VAT rate on the Cover sheet. Percentage-based lines (UOM containing '%') are stored as decimals - 0.25 renders as 25.0%.</t>
  </si>
  <si>
    <t xml:space="preserve">LOAD KEY:  Column A = ERP charge code (unique).  Column B = Level 1 cost head.  Column C = Level 2 sub head.  Column K = billing frequency driver.  Column M = approval status.</t>
  </si>
  <si>
    <t xml:space="preserve">Charge Code</t>
  </si>
  <si>
    <t xml:space="preserve">Sub Head</t>
  </si>
  <si>
    <t xml:space="preserve">Charge Description</t>
  </si>
  <si>
    <t xml:space="preserve">Cargo / Applicability</t>
  </si>
  <si>
    <t xml:space="preserve">UOM</t>
  </si>
  <si>
    <t xml:space="preserve">Rate (SAR)</t>
  </si>
  <si>
    <t xml:space="preserve">VAT (SAR)</t>
  </si>
  <si>
    <t xml:space="preserve">Rate incl. VAT (SAR)</t>
  </si>
  <si>
    <t xml:space="preserve">Min. Charge (SAR)</t>
  </si>
  <si>
    <t xml:space="preserve">Billing Type</t>
  </si>
  <si>
    <t xml:space="preserve">VAT Applicable</t>
  </si>
  <si>
    <t xml:space="preserve">Rate Status</t>
  </si>
  <si>
    <t xml:space="preserve">Remarks</t>
  </si>
  <si>
    <t xml:space="preserve">STO-001</t>
  </si>
  <si>
    <t xml:space="preserve">Ambient / Dry</t>
  </si>
  <si>
    <t xml:space="preserve">Storage - General Cargo (Ambient, Non-Temperature Controlled)</t>
  </si>
  <si>
    <t xml:space="preserve">General Cargo</t>
  </si>
  <si>
    <t xml:space="preserve">SQM / Month</t>
  </si>
  <si>
    <t xml:space="preserve">Recurring - Monthly</t>
  </si>
  <si>
    <t xml:space="preserve">Yes</t>
  </si>
  <si>
    <t xml:space="preserve">Client Provided</t>
  </si>
  <si>
    <t xml:space="preserve">Client rate. Floor-area basis. Requires Municipality / Civil Defense approval. Min. charge is per client per month.</t>
  </si>
  <si>
    <t xml:space="preserve">STO-002</t>
  </si>
  <si>
    <t xml:space="preserve">Storage - General Cargo (Ambient)</t>
  </si>
  <si>
    <t xml:space="preserve">Pallet Position / Month</t>
  </si>
  <si>
    <t xml:space="preserve">Client rate. Pallet position basis. See CORRECTION #1 - SQM and pallet rate should not be identical.</t>
  </si>
  <si>
    <t xml:space="preserve">STO-003</t>
  </si>
  <si>
    <t xml:space="preserve">Storage - General Cargo (Ambient) - Short Term</t>
  </si>
  <si>
    <t xml:space="preserve">Pallet / Day</t>
  </si>
  <si>
    <t xml:space="preserve">Per Day</t>
  </si>
  <si>
    <t xml:space="preserve">Client rate. Applies to stays under one full billing cycle. Implied uplift 33% over pro-rata monthly.</t>
  </si>
  <si>
    <t xml:space="preserve">STO-004</t>
  </si>
  <si>
    <t xml:space="preserve">Temperature Controlled</t>
  </si>
  <si>
    <t xml:space="preserve">Storage - Temperature Controlled (Non-Food, 18-25 C)</t>
  </si>
  <si>
    <t xml:space="preserve">General Cargo - AC</t>
  </si>
  <si>
    <t xml:space="preserve">Corrected</t>
  </si>
  <si>
    <t xml:space="preserve">CORRECTION #2 - temperature band was not stated in source file. Band fixed at 18-25 C. Municipality / Civil Defense approval required.</t>
  </si>
  <si>
    <t xml:space="preserve">STO-005</t>
  </si>
  <si>
    <t xml:space="preserve">Client rate.</t>
  </si>
  <si>
    <t xml:space="preserve">STO-006</t>
  </si>
  <si>
    <t xml:space="preserve">Storage - Temperature Controlled (Non-Food) - Short Term</t>
  </si>
  <si>
    <t xml:space="preserve">Client rate. Implied uplift 85% over pro-rata monthly - highest in the card. Review for consistency.</t>
  </si>
  <si>
    <t xml:space="preserve">STO-007</t>
  </si>
  <si>
    <t xml:space="preserve">Food Grade</t>
  </si>
  <si>
    <t xml:space="preserve">Storage - Food, Temperature Controlled (18-25 C)</t>
  </si>
  <si>
    <t xml:space="preserve">Food</t>
  </si>
  <si>
    <t xml:space="preserve">Requires SFDA Food Storage Licence. Segregated food-grade zone, pest control programme mandatory.</t>
  </si>
  <si>
    <t xml:space="preserve">STO-008</t>
  </si>
  <si>
    <t xml:space="preserve">Requires SFDA Food Storage Licence.</t>
  </si>
  <si>
    <t xml:space="preserve">STO-009</t>
  </si>
  <si>
    <t xml:space="preserve">Storage - Food, Temperature Controlled - Short Term</t>
  </si>
  <si>
    <t xml:space="preserve">STO-010</t>
  </si>
  <si>
    <t xml:space="preserve">Storage - Food, Dry / Non-Temperature Controlled</t>
  </si>
  <si>
    <t xml:space="preserve">STO-011</t>
  </si>
  <si>
    <t xml:space="preserve">STO-012</t>
  </si>
  <si>
    <t xml:space="preserve">Storage - Food, Dry - Short Term</t>
  </si>
  <si>
    <t xml:space="preserve">STO-013</t>
  </si>
  <si>
    <t xml:space="preserve">Regulated - SFDA</t>
  </si>
  <si>
    <t xml:space="preserve">Storage - Medical Devices (18-25 C)</t>
  </si>
  <si>
    <t xml:space="preserve">Medical Devices</t>
  </si>
  <si>
    <t xml:space="preserve">Requires SFDA Medical Device Storage Licence. Continuous temperature mapping and logger records required.</t>
  </si>
  <si>
    <t xml:space="preserve">STO-014</t>
  </si>
  <si>
    <t xml:space="preserve">Requires SFDA Medical Device Storage Licence.</t>
  </si>
  <si>
    <t xml:space="preserve">STO-015</t>
  </si>
  <si>
    <t xml:space="preserve">Storage - Medical Devices - Short Term</t>
  </si>
  <si>
    <t xml:space="preserve">STO-016</t>
  </si>
  <si>
    <t xml:space="preserve">Storage - Cosmetics (18-25 C)</t>
  </si>
  <si>
    <t xml:space="preserve">Cosmetics</t>
  </si>
  <si>
    <t xml:space="preserve">Requires SFDA Cosmetics Storage Licence.</t>
  </si>
  <si>
    <t xml:space="preserve">STO-017</t>
  </si>
  <si>
    <t xml:space="preserve">STO-018</t>
  </si>
  <si>
    <t xml:space="preserve">Storage - Cosmetics - Short Term</t>
  </si>
  <si>
    <t xml:space="preserve">STO-019</t>
  </si>
  <si>
    <t xml:space="preserve">Storage - Animal Feed (18-25 C)</t>
  </si>
  <si>
    <t xml:space="preserve">Animal Feed</t>
  </si>
  <si>
    <t xml:space="preserve">Requires SFDA Animal Feed Storage Licence.</t>
  </si>
  <si>
    <t xml:space="preserve">STO-020</t>
  </si>
  <si>
    <t xml:space="preserve">STO-021</t>
  </si>
  <si>
    <t xml:space="preserve">Storage - Animal Feed - Short Term</t>
  </si>
  <si>
    <t xml:space="preserve">STO-022</t>
  </si>
  <si>
    <t xml:space="preserve">Dangerous Goods</t>
  </si>
  <si>
    <t xml:space="preserve">Storage - Dangerous Goods, Dry / Ambient</t>
  </si>
  <si>
    <t xml:space="preserve">DG - Classified</t>
  </si>
  <si>
    <t xml:space="preserve">MOI-approved DG warehouse. Valid MSDS and UN class declaration mandatory before booking. Class 1, 6.2 and 7 excluded.</t>
  </si>
  <si>
    <t xml:space="preserve">STO-023</t>
  </si>
  <si>
    <t xml:space="preserve">MOI-approved DG warehouse.</t>
  </si>
  <si>
    <t xml:space="preserve">STO-024</t>
  </si>
  <si>
    <t xml:space="preserve">Storage - Dangerous Goods, Dry - Short Term</t>
  </si>
  <si>
    <t xml:space="preserve">CORRECTION #3 - source file read 'min. per month' with no rate. Daily rate set in line with other DG lines. Confirm.</t>
  </si>
  <si>
    <t xml:space="preserve">STO-025</t>
  </si>
  <si>
    <t xml:space="preserve">Storage - Dangerous Goods, Temperature Controlled (18-25 C)</t>
  </si>
  <si>
    <t xml:space="preserve">MOI-approved DG warehouse, climate controlled DG cell.</t>
  </si>
  <si>
    <t xml:space="preserve">STO-026</t>
  </si>
  <si>
    <t xml:space="preserve">STO-027</t>
  </si>
  <si>
    <t xml:space="preserve">Storage - Dangerous Goods, Temp. Controlled - Short Term</t>
  </si>
  <si>
    <t xml:space="preserve">CORRECTION #3 - source file read 'min. per month' with no rate. Set at pro-rata + 50% short-stay uplift. Confirm.</t>
  </si>
  <si>
    <t xml:space="preserve">STO-028</t>
  </si>
  <si>
    <t xml:space="preserve">Storage - General Chemicals (Non-DG), Ambient</t>
  </si>
  <si>
    <t xml:space="preserve">Chemicals - Non-DG</t>
  </si>
  <si>
    <t xml:space="preserve">3PL general chemical approved warehouse. Non-DG declaration / MSDS required.</t>
  </si>
  <si>
    <t xml:space="preserve">STO-029</t>
  </si>
  <si>
    <t xml:space="preserve">3PL general chemical approved warehouse.</t>
  </si>
  <si>
    <t xml:space="preserve">STO-030</t>
  </si>
  <si>
    <t xml:space="preserve">Storage - General Chemicals (Non-DG) - Short Term</t>
  </si>
  <si>
    <t xml:space="preserve">CORRECTION #3 - source file read 'min. per month' with no rate. Aligned to Food Dry daily rate. Confirm.</t>
  </si>
  <si>
    <t xml:space="preserve">STO-031</t>
  </si>
  <si>
    <t xml:space="preserve">Cold Chain</t>
  </si>
  <si>
    <t xml:space="preserve">Storage - Chilled Chamber (+2 to +8 C)</t>
  </si>
  <si>
    <t xml:space="preserve">Pharma / Food / Fresh</t>
  </si>
  <si>
    <t xml:space="preserve">New - Confirm</t>
  </si>
  <si>
    <t xml:space="preserve">NEW - major gap in source card. Mandatory for pharma and fresh produce. Includes 24/7 monitoring and alarm. Backup generator cover included.</t>
  </si>
  <si>
    <t xml:space="preserve">STO-032</t>
  </si>
  <si>
    <t xml:space="preserve">Storage - Chilled Chamber (+2 to +8 C) - Short Term</t>
  </si>
  <si>
    <t xml:space="preserve">NEW - confirm commercial rate.</t>
  </si>
  <si>
    <t xml:space="preserve">STO-033</t>
  </si>
  <si>
    <t xml:space="preserve">Storage - Frozen Chamber (-18 to -25 C)</t>
  </si>
  <si>
    <t xml:space="preserve">Frozen Food</t>
  </si>
  <si>
    <t xml:space="preserve">NEW - major gap in source card. SFDA cold-store licence required. Includes 24/7 monitoring and backup power.</t>
  </si>
  <si>
    <t xml:space="preserve">STO-034</t>
  </si>
  <si>
    <t xml:space="preserve">Storage - Frozen Chamber (-18 to -25 C) - Short Term</t>
  </si>
  <si>
    <t xml:space="preserve">STO-035</t>
  </si>
  <si>
    <t xml:space="preserve">Storage - Deep Freeze (-25 C and below)</t>
  </si>
  <si>
    <t xml:space="preserve">Special Frozen</t>
  </si>
  <si>
    <t xml:space="preserve">NEW - on request, subject to chamber availability.</t>
  </si>
  <si>
    <t xml:space="preserve">STO-036</t>
  </si>
  <si>
    <t xml:space="preserve">Specialised Storage</t>
  </si>
  <si>
    <t xml:space="preserve">Storage - Open Yard / Uncovered (Hardstand)</t>
  </si>
  <si>
    <t xml:space="preserve">Steel, Pipes, Machinery, Empty Containers</t>
  </si>
  <si>
    <t xml:space="preserve">NEW - commonly required. Cargo stored at owner's risk, weather exposure excluded from liability.</t>
  </si>
  <si>
    <t xml:space="preserve">STO-037</t>
  </si>
  <si>
    <t xml:space="preserve">Storage - Covered Shed / Canopy (Non-AC)</t>
  </si>
  <si>
    <t xml:space="preserve">General / Oversize</t>
  </si>
  <si>
    <t xml:space="preserve">NEW - intermediate tier between open yard and closed warehouse.</t>
  </si>
  <si>
    <t xml:space="preserve">STO-038</t>
  </si>
  <si>
    <t xml:space="preserve">Storage - Customs Bonded Warehouse</t>
  </si>
  <si>
    <t xml:space="preserve">Under-Bond Cargo</t>
  </si>
  <si>
    <t xml:space="preserve">NEW - requires ZATCA / Customs bonded licence. Duty suspended. Bond entry and exit charged separately under CMP head.</t>
  </si>
  <si>
    <t xml:space="preserve">STO-039</t>
  </si>
  <si>
    <t xml:space="preserve">Storage - High Value / Secure Cage</t>
  </si>
  <si>
    <t xml:space="preserve">Electronics, Pharma, Jewellery, Mobiles</t>
  </si>
  <si>
    <t xml:space="preserve">NEW - locked mesh cage, restricted access list, dedicated CCTV. Declared value cap applies.</t>
  </si>
  <si>
    <t xml:space="preserve">STO-040</t>
  </si>
  <si>
    <t xml:space="preserve">Storage - Quarantine / Hold / Damaged Goods Area</t>
  </si>
  <si>
    <t xml:space="preserve">All</t>
  </si>
  <si>
    <t xml:space="preserve">NEW - segregated hold area pending SFDA release, QC decision or claim settlement.</t>
  </si>
  <si>
    <t xml:space="preserve">STO-041</t>
  </si>
  <si>
    <t xml:space="preserve">Storage - Oversize / Out-of-Gauge Floor Space</t>
  </si>
  <si>
    <t xml:space="preserve">Project / OOG Cargo</t>
  </si>
  <si>
    <t xml:space="preserve">NEW - non-stackable cargo exceeding 1.2 x 1.0 m footprint or 2.2 m height.</t>
  </si>
  <si>
    <t xml:space="preserve">STO-042</t>
  </si>
  <si>
    <t xml:space="preserve">Storage - Mezzanine Level</t>
  </si>
  <si>
    <t xml:space="preserve">Light / Slow-Moving</t>
  </si>
  <si>
    <t xml:space="preserve">NEW - max 500 kg/SQM floor loading.</t>
  </si>
  <si>
    <t xml:space="preserve">STO-043</t>
  </si>
  <si>
    <t xml:space="preserve">Storage - Shelf / Bin Location (Small Item)</t>
  </si>
  <si>
    <t xml:space="preserve">E-Commerce / Spare Parts</t>
  </si>
  <si>
    <t xml:space="preserve">Bin / Month</t>
  </si>
  <si>
    <t xml:space="preserve">NEW - for piece-pick and e-commerce clients. Bin size 60 x 40 x 30 cm.</t>
  </si>
  <si>
    <t xml:space="preserve">STO-044</t>
  </si>
  <si>
    <t xml:space="preserve">Storage - Carton / Case Location</t>
  </si>
  <si>
    <t xml:space="preserve">E-Commerce / Retail</t>
  </si>
  <si>
    <t xml:space="preserve">Carton / Month</t>
  </si>
  <si>
    <t xml:space="preserve">NEW - standard carton up to 0.125 CBM.</t>
  </si>
  <si>
    <t xml:space="preserve">STO-045</t>
  </si>
  <si>
    <t xml:space="preserve">Storage - Dedicated Space / Ring-Fenced Area</t>
  </si>
  <si>
    <t xml:space="preserve">Contract Clients</t>
  </si>
  <si>
    <t xml:space="preserve">NEW - exclusive allocated area billed whether occupied or not. Minimum 12-month term.</t>
  </si>
  <si>
    <t xml:space="preserve">STO-046</t>
  </si>
  <si>
    <t xml:space="preserve">Storage - Office / Admin Space within Warehouse</t>
  </si>
  <si>
    <t xml:space="preserve">NEW - furnished office, includes utilities and internet.</t>
  </si>
  <si>
    <t xml:space="preserve">STO-047</t>
  </si>
  <si>
    <t xml:space="preserve">Storage - Reefer Container Plug-In (Genset / Power)</t>
  </si>
  <si>
    <t xml:space="preserve">Reefer Containers</t>
  </si>
  <si>
    <t xml:space="preserve">Container / Day</t>
  </si>
  <si>
    <t xml:space="preserve">NEW - includes power supply, temperature monitoring and daily log sheet.</t>
  </si>
  <si>
    <t xml:space="preserve">STO-048</t>
  </si>
  <si>
    <t xml:space="preserve">Storage Surcharges</t>
  </si>
  <si>
    <t xml:space="preserve">Long-Stay / Aging Cargo Surcharge (181-365 days)</t>
  </si>
  <si>
    <t xml:space="preserve">% of Storage Value</t>
  </si>
  <si>
    <t xml:space="preserve">NEW - 25% uplift on base storage from day 181. Encourages stock rotation and protects space yield.</t>
  </si>
  <si>
    <t xml:space="preserve">STO-049</t>
  </si>
  <si>
    <t xml:space="preserve">Long-Stay / Aging Cargo Surcharge (over 365 days)</t>
  </si>
  <si>
    <t xml:space="preserve">NEW - 50% uplift on base storage from day 366.</t>
  </si>
  <si>
    <t xml:space="preserve">STO-050</t>
  </si>
  <si>
    <t xml:space="preserve">Peak Season Surcharge (Ramadan / Q4 / Hajj)</t>
  </si>
  <si>
    <t xml:space="preserve">NEW - applied only on declared peak windows with 30 days written notice.</t>
  </si>
  <si>
    <t xml:space="preserve">STO-051</t>
  </si>
  <si>
    <t xml:space="preserve">Non-Stackable Cargo Surcharge</t>
  </si>
  <si>
    <t xml:space="preserve">NEW - cargo that cannot be double-stacked consumes vertical cube without revenue.</t>
  </si>
  <si>
    <t xml:space="preserve">STO-052</t>
  </si>
  <si>
    <t xml:space="preserve">Minimum Monthly Storage Charge - Per Client Account</t>
  </si>
  <si>
    <t xml:space="preserve">Per Account / Month</t>
  </si>
  <si>
    <t xml:space="preserve">NEW - floor charge applied when actual storage billing falls below this value.</t>
  </si>
  <si>
    <t xml:space="preserve">HIN-001</t>
  </si>
  <si>
    <t xml:space="preserve">Mechanical Handling</t>
  </si>
  <si>
    <t xml:space="preserve">Pallet Handling IN - Forklift, Open / Curtain-Side Truck</t>
  </si>
  <si>
    <t xml:space="preserve">Palletised</t>
  </si>
  <si>
    <t xml:space="preserve">Per Pallet</t>
  </si>
  <si>
    <t xml:space="preserve">Per Transaction</t>
  </si>
  <si>
    <t xml:space="preserve">Standard pallet up to 1,000 kg / 1.2 CBM. Beyond this, oversize rate HIN-010 applies.</t>
  </si>
  <si>
    <t xml:space="preserve">HIN-002</t>
  </si>
  <si>
    <t xml:space="preserve">Forklift Destuffing - 20 ft Container (Palletised)</t>
  </si>
  <si>
    <t xml:space="preserve">Per Container</t>
  </si>
  <si>
    <t xml:space="preserve">Includes up to 2 hours free time. Waiting beyond free time charged under ANC-001.</t>
  </si>
  <si>
    <t xml:space="preserve">HIN-003</t>
  </si>
  <si>
    <t xml:space="preserve">Forklift Destuffing - 40 ft / 40 ft HC Container (Palletised)</t>
  </si>
  <si>
    <t xml:space="preserve">Includes up to 3 hours free time.</t>
  </si>
  <si>
    <t xml:space="preserve">HIN-004</t>
  </si>
  <si>
    <t xml:space="preserve">Forklift Destuffing - 45 ft Container (Palletised)</t>
  </si>
  <si>
    <t xml:space="preserve">NEW - 45 ft was missing from source card.</t>
  </si>
  <si>
    <t xml:space="preserve">HIN-005</t>
  </si>
  <si>
    <t xml:space="preserve">Manual Handling</t>
  </si>
  <si>
    <t xml:space="preserve">Manual Destuffing - 20 ft Container (Loose / Floor-Loaded)</t>
  </si>
  <si>
    <t xml:space="preserve">Loose Cargo</t>
  </si>
  <si>
    <t xml:space="preserve">Includes up to 4 hours free time. Palletising onto client pallets charged separately under VAS-004.</t>
  </si>
  <si>
    <t xml:space="preserve">HIN-006</t>
  </si>
  <si>
    <t xml:space="preserve">Manual Destuffing - 40 ft / 40 ft HC Container (Loose)</t>
  </si>
  <si>
    <t xml:space="preserve">Includes up to 6 hours free time.</t>
  </si>
  <si>
    <t xml:space="preserve">HIN-007</t>
  </si>
  <si>
    <t xml:space="preserve">Manual Destuffing - 45 ft Container (Loose)</t>
  </si>
  <si>
    <t xml:space="preserve">HIN-008</t>
  </si>
  <si>
    <t xml:space="preserve">Manual Offloading - 3 Ton Truck (Dyna)</t>
  </si>
  <si>
    <t xml:space="preserve">Per Truck</t>
  </si>
  <si>
    <t xml:space="preserve">Up to truck payload capacity. Includes 2 hours free time.</t>
  </si>
  <si>
    <t xml:space="preserve">HIN-009</t>
  </si>
  <si>
    <t xml:space="preserve">Manual Offloading - 5 Ton Truck (Dyna)</t>
  </si>
  <si>
    <t xml:space="preserve">Up to truck payload capacity.</t>
  </si>
  <si>
    <t xml:space="preserve">HIN-010</t>
  </si>
  <si>
    <t xml:space="preserve">Manual Offloading - 8 Ton Truck</t>
  </si>
  <si>
    <t xml:space="preserve">HIN-011</t>
  </si>
  <si>
    <t xml:space="preserve">Manual Offloading - 10 Ton Truck</t>
  </si>
  <si>
    <t xml:space="preserve">HIN-012</t>
  </si>
  <si>
    <t xml:space="preserve">Manual Offloading - Trailer / Lowbed (over 10 Ton)</t>
  </si>
  <si>
    <t xml:space="preserve">NEW - trailer tier was missing from source card.</t>
  </si>
  <si>
    <t xml:space="preserve">HIN-013</t>
  </si>
  <si>
    <t xml:space="preserve">Piece Handling</t>
  </si>
  <si>
    <t xml:space="preserve">Piece Handling IN - up to 15 kg</t>
  </si>
  <si>
    <t xml:space="preserve">Loose / Carton</t>
  </si>
  <si>
    <t xml:space="preserve">Per Piece</t>
  </si>
  <si>
    <t xml:space="preserve">HIN-014</t>
  </si>
  <si>
    <t xml:space="preserve">Piece Handling IN - 15.1 to 40 kg</t>
  </si>
  <si>
    <t xml:space="preserve">CORRECTION #4 - source bands overlapped ('up to 40', 'up to 60'). Bands re-cut as exclusive ranges for ERP logic.</t>
  </si>
  <si>
    <t xml:space="preserve">HIN-015</t>
  </si>
  <si>
    <t xml:space="preserve">Piece Handling IN - 40.1 to 60 kg</t>
  </si>
  <si>
    <t xml:space="preserve">CORRECTION #4 - band re-cut as exclusive range.</t>
  </si>
  <si>
    <t xml:space="preserve">HIN-016</t>
  </si>
  <si>
    <t xml:space="preserve">Piece Handling IN - 60.1 to 100 kg</t>
  </si>
  <si>
    <t xml:space="preserve">NEW - source card had no band above 60 kg, leaving heavy pieces unbilled.</t>
  </si>
  <si>
    <t xml:space="preserve">HIN-017</t>
  </si>
  <si>
    <t xml:space="preserve">Piece Handling IN - over 100 kg (Mechanical Assist)</t>
  </si>
  <si>
    <t xml:space="preserve">Heavy Piece</t>
  </si>
  <si>
    <t xml:space="preserve">NEW - requires forklift or crane; equipment billed separately if over 3 ton.</t>
  </si>
  <si>
    <t xml:space="preserve">HIN-018</t>
  </si>
  <si>
    <t xml:space="preserve">Receiving &amp; Inspection</t>
  </si>
  <si>
    <t xml:space="preserve">Goods Receipt Note (GRN) Creation &amp; System Booking</t>
  </si>
  <si>
    <t xml:space="preserve">Per GRN</t>
  </si>
  <si>
    <t xml:space="preserve">NEW - core 3PL revenue line missing from source card. Covers WMS entry, doc check and receipt confirmation.</t>
  </si>
  <si>
    <t xml:space="preserve">HIN-019</t>
  </si>
  <si>
    <t xml:space="preserve">Inbound Piece-Level Count Verification</t>
  </si>
  <si>
    <t xml:space="preserve">NEW - 100% piece count against packing list, on client instruction.</t>
  </si>
  <si>
    <t xml:space="preserve">HIN-020</t>
  </si>
  <si>
    <t xml:space="preserve">Quality Inspection - Visual / Damage Check &amp; Photo Report</t>
  </si>
  <si>
    <t xml:space="preserve">NEW - includes photographic evidence pack for claims.</t>
  </si>
  <si>
    <t xml:space="preserve">HIN-021</t>
  </si>
  <si>
    <t xml:space="preserve">Batch / Lot / Expiry Date Capture at Receipt</t>
  </si>
  <si>
    <t xml:space="preserve">Food, Pharma, Cosmetics</t>
  </si>
  <si>
    <t xml:space="preserve">Per SKU Line</t>
  </si>
  <si>
    <t xml:space="preserve">NEW - mandatory for FEFO stock rotation and SFDA traceability.</t>
  </si>
  <si>
    <t xml:space="preserve">HIN-022</t>
  </si>
  <si>
    <t xml:space="preserve">Serial Number / IMEI Scan &amp; Capture</t>
  </si>
  <si>
    <t xml:space="preserve">Electronics, High Value</t>
  </si>
  <si>
    <t xml:space="preserve">NEW - unit-level traceability.</t>
  </si>
  <si>
    <t xml:space="preserve">HIN-023</t>
  </si>
  <si>
    <t xml:space="preserve">Temperature Verification &amp; Cold Chain Integrity Check on Arrival</t>
  </si>
  <si>
    <t xml:space="preserve">Per Consignment</t>
  </si>
  <si>
    <t xml:space="preserve">NEW - mandatory for chilled / frozen receipts. Includes logger download and report.</t>
  </si>
  <si>
    <t xml:space="preserve">HIN-024</t>
  </si>
  <si>
    <t xml:space="preserve">Sampling for SFDA / Laboratory Release</t>
  </si>
  <si>
    <t xml:space="preserve">Per Sample Drawn</t>
  </si>
  <si>
    <t xml:space="preserve">NEW - excludes third-party lab test fees, charged at cost plus ANC-012.</t>
  </si>
  <si>
    <t xml:space="preserve">HIN-025</t>
  </si>
  <si>
    <t xml:space="preserve">Weighing / Weighbridge Verification</t>
  </si>
  <si>
    <t xml:space="preserve">Per Weighing</t>
  </si>
  <si>
    <t xml:space="preserve">NEW - certified weight slip issued.</t>
  </si>
  <si>
    <t xml:space="preserve">HIN-026</t>
  </si>
  <si>
    <t xml:space="preserve">Discrepancy / Short-Over Damage Report &amp; Investigation</t>
  </si>
  <si>
    <t xml:space="preserve">Per Report</t>
  </si>
  <si>
    <t xml:space="preserve">NEW - formal SOD report with photo evidence for insurance or supplier claim.</t>
  </si>
  <si>
    <t xml:space="preserve">HOT-001</t>
  </si>
  <si>
    <t xml:space="preserve">Order Management</t>
  </si>
  <si>
    <t xml:space="preserve">Order Processing Charge (Mandatory)</t>
  </si>
  <si>
    <t xml:space="preserve">Per Order</t>
  </si>
  <si>
    <t xml:space="preserve">CORRECTION #5 - source read 'Order processing charges charges (Mendatory)'. Text corrected. One order = one outbound release / delivery note, any number of lines.</t>
  </si>
  <si>
    <t xml:space="preserve">HOT-002</t>
  </si>
  <si>
    <t xml:space="preserve">Order Line Charge (Per SKU Line on Order)</t>
  </si>
  <si>
    <t xml:space="preserve">Per Order Line</t>
  </si>
  <si>
    <t xml:space="preserve">NEW - protects margin on multi-SKU orders where a flat per-order fee under-recovers.</t>
  </si>
  <si>
    <t xml:space="preserve">HOT-003</t>
  </si>
  <si>
    <t xml:space="preserve">Rush / Same-Day Order Processing</t>
  </si>
  <si>
    <t xml:space="preserve">NEW - orders received after daily cut-off (14:00) for same-day dispatch.</t>
  </si>
  <si>
    <t xml:space="preserve">HOT-004</t>
  </si>
  <si>
    <t xml:space="preserve">Order Amendment / Re-Pick After Release</t>
  </si>
  <si>
    <t xml:space="preserve">NEW - changes requested after pick list generation.</t>
  </si>
  <si>
    <t xml:space="preserve">HOT-005</t>
  </si>
  <si>
    <t xml:space="preserve">Order Cancellation After Picking</t>
  </si>
  <si>
    <t xml:space="preserve">NEW - covers pick, put-back and system reversal labour.</t>
  </si>
  <si>
    <t xml:space="preserve">HOT-006</t>
  </si>
  <si>
    <t xml:space="preserve">Pallet Handling OUT - Forklift, Open / Curtain-Side Truck</t>
  </si>
  <si>
    <t xml:space="preserve">Standard pallet up to 1,000 kg / 1.2 CBM.</t>
  </si>
  <si>
    <t xml:space="preserve">HOT-007</t>
  </si>
  <si>
    <t xml:space="preserve">Forklift Stuffing - 20 ft Container (Palletised)</t>
  </si>
  <si>
    <t xml:space="preserve">Includes up to 2 hours free time.</t>
  </si>
  <si>
    <t xml:space="preserve">HOT-008</t>
  </si>
  <si>
    <t xml:space="preserve">Forklift Stuffing - 40 ft / 40 ft HC Container (Palletised)</t>
  </si>
  <si>
    <t xml:space="preserve">HOT-009</t>
  </si>
  <si>
    <t xml:space="preserve">Forklift Stuffing - 45 ft Container (Palletised)</t>
  </si>
  <si>
    <t xml:space="preserve">HOT-010</t>
  </si>
  <si>
    <t xml:space="preserve">Manual Stuffing - 20 ft Container (Loose / Floor-Loaded)</t>
  </si>
  <si>
    <t xml:space="preserve">Includes up to 4 hours free time.</t>
  </si>
  <si>
    <t xml:space="preserve">HOT-011</t>
  </si>
  <si>
    <t xml:space="preserve">Manual Stuffing - 40 ft / 40 ft HC Container (Loose)</t>
  </si>
  <si>
    <t xml:space="preserve">HOT-012</t>
  </si>
  <si>
    <t xml:space="preserve">Manual Stuffing - 45 ft Container (Loose)</t>
  </si>
  <si>
    <t xml:space="preserve">HOT-013</t>
  </si>
  <si>
    <t xml:space="preserve">Manual Loading - 3 Ton Truck (Dyna)</t>
  </si>
  <si>
    <t xml:space="preserve">HOT-014</t>
  </si>
  <si>
    <t xml:space="preserve">Manual Loading - 5 Ton Truck (Dyna)</t>
  </si>
  <si>
    <t xml:space="preserve">CORRECTION #6 - source file listed this as 'Manual loading 4toner (Dyna) SAR 500/5Toner'. There is no 4-ton tier; description and UOM corrected to 5 Ton.</t>
  </si>
  <si>
    <t xml:space="preserve">HOT-015</t>
  </si>
  <si>
    <t xml:space="preserve">Manual Loading - 8 Ton Truck</t>
  </si>
  <si>
    <t xml:space="preserve">HOT-016</t>
  </si>
  <si>
    <t xml:space="preserve">Manual Loading - 10 Ton Truck</t>
  </si>
  <si>
    <t xml:space="preserve">HOT-017</t>
  </si>
  <si>
    <t xml:space="preserve">Manual Loading - Trailer / Lowbed (over 10 Ton)</t>
  </si>
  <si>
    <t xml:space="preserve">HOT-018</t>
  </si>
  <si>
    <t xml:space="preserve">Piece Handling OUT - up to 15 kg</t>
  </si>
  <si>
    <t xml:space="preserve">HOT-019</t>
  </si>
  <si>
    <t xml:space="preserve">Piece Handling OUT - 15.1 to 40 kg</t>
  </si>
  <si>
    <t xml:space="preserve">HOT-020</t>
  </si>
  <si>
    <t xml:space="preserve">Piece Handling OUT - 40.1 to 60 kg</t>
  </si>
  <si>
    <t xml:space="preserve">HOT-021</t>
  </si>
  <si>
    <t xml:space="preserve">Piece Handling OUT - 60.1 to 100 kg</t>
  </si>
  <si>
    <t xml:space="preserve">NEW - band above 60 kg was missing.</t>
  </si>
  <si>
    <t xml:space="preserve">HOT-022</t>
  </si>
  <si>
    <t xml:space="preserve">Piece Handling OUT - over 100 kg (Mechanical Assist)</t>
  </si>
  <si>
    <t xml:space="preserve">NEW.</t>
  </si>
  <si>
    <t xml:space="preserve">HOT-023</t>
  </si>
  <si>
    <t xml:space="preserve">Picking &amp; Packing</t>
  </si>
  <si>
    <t xml:space="preserve">Full Pallet Pick</t>
  </si>
  <si>
    <t xml:space="preserve">NEW - pick tiers were absent from source card. Critical for retail and e-commerce contracts.</t>
  </si>
  <si>
    <t xml:space="preserve">HOT-024</t>
  </si>
  <si>
    <t xml:space="preserve">Case / Carton Pick</t>
  </si>
  <si>
    <t xml:space="preserve">Retail / FMCG</t>
  </si>
  <si>
    <t xml:space="preserve">Per Carton</t>
  </si>
  <si>
    <t xml:space="preserve">HOT-025</t>
  </si>
  <si>
    <t xml:space="preserve">Piece / Each Pick (Broken Case)</t>
  </si>
  <si>
    <t xml:space="preserve">E-Commerce / Spares</t>
  </si>
  <si>
    <t xml:space="preserve">HOT-026</t>
  </si>
  <si>
    <t xml:space="preserve">E-Commerce Pack &amp; Dispatch (B2C Parcel)</t>
  </si>
  <si>
    <t xml:space="preserve">E-Commerce</t>
  </si>
  <si>
    <t xml:space="preserve">Per Parcel</t>
  </si>
  <si>
    <t xml:space="preserve">NEW - includes pick, pack, carrier label and manifest. Packing material billed separately.</t>
  </si>
  <si>
    <t xml:space="preserve">HOT-027</t>
  </si>
  <si>
    <t xml:space="preserve">FEFO / FIFO Batch-Controlled Pick</t>
  </si>
  <si>
    <t xml:space="preserve">Food, Pharma</t>
  </si>
  <si>
    <t xml:space="preserve">NEW - premium for batch-directed picking with expiry validation.</t>
  </si>
  <si>
    <t xml:space="preserve">HOT-028</t>
  </si>
  <si>
    <t xml:space="preserve">Outbound Quality Check / Double Verification</t>
  </si>
  <si>
    <t xml:space="preserve">NEW - second-person check before seal, on client instruction.</t>
  </si>
  <si>
    <t xml:space="preserve">HOT-029</t>
  </si>
  <si>
    <t xml:space="preserve">Container / Truck Sealing &amp; Seal Number Recording</t>
  </si>
  <si>
    <t xml:space="preserve">Per Unit</t>
  </si>
  <si>
    <t xml:space="preserve">NEW - includes bolt seal and photographic record.</t>
  </si>
  <si>
    <t xml:space="preserve">HOT-030</t>
  </si>
  <si>
    <t xml:space="preserve">Load Plan / Stuffing Plan Preparation</t>
  </si>
  <si>
    <t xml:space="preserve">Export / Project</t>
  </si>
  <si>
    <t xml:space="preserve">NEW - technical load plan with weight distribution for export documentation.</t>
  </si>
  <si>
    <t xml:space="preserve">XDK-001</t>
  </si>
  <si>
    <t xml:space="preserve">Cross Stuffing</t>
  </si>
  <si>
    <t xml:space="preserve">Cross Stuffing (Direct Vehicle to Vehicle) - 3 Ton Truck</t>
  </si>
  <si>
    <t xml:space="preserve">Direct transfer, no storage, no put-away. Vehicles must be present simultaneously.</t>
  </si>
  <si>
    <t xml:space="preserve">XDK-002</t>
  </si>
  <si>
    <t xml:space="preserve">Cross Stuffing - 5 Ton Truck</t>
  </si>
  <si>
    <t xml:space="preserve">Direct transfer, no storage.</t>
  </si>
  <si>
    <t xml:space="preserve">XDK-003</t>
  </si>
  <si>
    <t xml:space="preserve">Cross Stuffing - 8 Ton Truck</t>
  </si>
  <si>
    <t xml:space="preserve">XDK-004</t>
  </si>
  <si>
    <t xml:space="preserve">Cross Stuffing - 10 Ton Truck</t>
  </si>
  <si>
    <t xml:space="preserve">XDK-005</t>
  </si>
  <si>
    <t xml:space="preserve">Cross Stuffing - 20 ft Container</t>
  </si>
  <si>
    <t xml:space="preserve">XDK-006</t>
  </si>
  <si>
    <t xml:space="preserve">Cross Stuffing - 40 ft Container</t>
  </si>
  <si>
    <t xml:space="preserve">XDK-007</t>
  </si>
  <si>
    <t xml:space="preserve">Cross Docking</t>
  </si>
  <si>
    <t xml:space="preserve">Cross Docking (Receive, Stage, Sort, Dispatch) - 3 Ton Truck</t>
  </si>
  <si>
    <t xml:space="preserve">Includes staging up to 48 hours. Beyond 48 hours, storage applies from receipt date. Priced above cross-stuffing as it consumes dock and floor space.</t>
  </si>
  <si>
    <t xml:space="preserve">XDK-008</t>
  </si>
  <si>
    <t xml:space="preserve">Cross Docking - 5 Ton Truck</t>
  </si>
  <si>
    <t xml:space="preserve">Includes staging up to 48 hours.</t>
  </si>
  <si>
    <t xml:space="preserve">XDK-009</t>
  </si>
  <si>
    <t xml:space="preserve">Cross Docking - 8 Ton Truck</t>
  </si>
  <si>
    <t xml:space="preserve">XDK-010</t>
  </si>
  <si>
    <t xml:space="preserve">Cross Docking - 10 Ton Truck</t>
  </si>
  <si>
    <t xml:space="preserve">XDK-011</t>
  </si>
  <si>
    <t xml:space="preserve">Cross Docking - 20 ft Container</t>
  </si>
  <si>
    <t xml:space="preserve">XDK-012</t>
  </si>
  <si>
    <t xml:space="preserve">Cross Docking - 40 ft Container</t>
  </si>
  <si>
    <t xml:space="preserve">XDK-013</t>
  </si>
  <si>
    <t xml:space="preserve">Cross Docking - Loose / Non-Palletised Cargo Surcharge</t>
  </si>
  <si>
    <t xml:space="preserve">% of Base Rate</t>
  </si>
  <si>
    <t xml:space="preserve">NEW - source card covered palletised only. Loose cross-dock is materially more labour-intensive.</t>
  </si>
  <si>
    <t xml:space="preserve">XDK-014</t>
  </si>
  <si>
    <t xml:space="preserve">Internal Movement</t>
  </si>
  <si>
    <t xml:space="preserve">Inter-Warehouse Transfer (Same Facility, Zone to Zone)</t>
  </si>
  <si>
    <t xml:space="preserve">NEW - relocation between zones on client instruction.</t>
  </si>
  <si>
    <t xml:space="preserve">XDK-015</t>
  </si>
  <si>
    <t xml:space="preserve">Stock Relocation / Re-Slotting on Client Request</t>
  </si>
  <si>
    <t xml:space="preserve">VAS-001</t>
  </si>
  <si>
    <t xml:space="preserve">Wrapping &amp; Protection</t>
  </si>
  <si>
    <t xml:space="preserve">Shrink / Stretch Wrapping</t>
  </si>
  <si>
    <t xml:space="preserve">Per CBM</t>
  </si>
  <si>
    <t xml:space="preserve">Client rate. Includes film and labour.</t>
  </si>
  <si>
    <t xml:space="preserve">VAS-002</t>
  </si>
  <si>
    <t xml:space="preserve">Bubble Wrapping</t>
  </si>
  <si>
    <t xml:space="preserve">Fragile</t>
  </si>
  <si>
    <t xml:space="preserve">Client rate. Includes material and labour.</t>
  </si>
  <si>
    <t xml:space="preserve">VAS-003</t>
  </si>
  <si>
    <t xml:space="preserve">Pallet Strapping / Banding (PP or Steel)</t>
  </si>
  <si>
    <t xml:space="preserve">NEW - includes strap, corner boards and labour.</t>
  </si>
  <si>
    <t xml:space="preserve">VAS-004</t>
  </si>
  <si>
    <t xml:space="preserve">Palletisation</t>
  </si>
  <si>
    <t xml:space="preserve">Repalletisation (incl. Pallet, Wrapping and Labour)</t>
  </si>
  <si>
    <t xml:space="preserve">Client rate. Includes used wooden pallet, stretch film and labour.</t>
  </si>
  <si>
    <t xml:space="preserve">VAS-005</t>
  </si>
  <si>
    <t xml:space="preserve">Palletisation of Loose Cargo (Client-Supplied Pallets)</t>
  </si>
  <si>
    <t xml:space="preserve">NEW - build-up only, excludes pallet cost.</t>
  </si>
  <si>
    <t xml:space="preserve">VAS-006</t>
  </si>
  <si>
    <t xml:space="preserve">De-Palletisation / Pallet Breakdown</t>
  </si>
  <si>
    <t xml:space="preserve">VAS-007</t>
  </si>
  <si>
    <t xml:space="preserve">Pallet Exchange / Swap (Euro to Standard)</t>
  </si>
  <si>
    <t xml:space="preserve">VAS-008</t>
  </si>
  <si>
    <t xml:space="preserve">Labelling &amp; Marking</t>
  </si>
  <si>
    <t xml:space="preserve">SKU / Barcode Label Application</t>
  </si>
  <si>
    <t xml:space="preserve">NEW - core VAS line missing from source card.</t>
  </si>
  <si>
    <t xml:space="preserve">VAS-009</t>
  </si>
  <si>
    <t xml:space="preserve">Arabic Labelling / SFDA Compliance Sticker Application</t>
  </si>
  <si>
    <t xml:space="preserve">Food, Cosmetics, Medical</t>
  </si>
  <si>
    <t xml:space="preserve">NEW - high-demand service in KSA. Required where imported packaging lacks compliant Arabic text. Artwork approval is client responsibility.</t>
  </si>
  <si>
    <t xml:space="preserve">VAS-010</t>
  </si>
  <si>
    <t xml:space="preserve">Over-Labelling / Re-Labelling (Cover Existing Label)</t>
  </si>
  <si>
    <t xml:space="preserve">VAS-011</t>
  </si>
  <si>
    <t xml:space="preserve">Carton / Shipping Mark Stencilling</t>
  </si>
  <si>
    <t xml:space="preserve">Export</t>
  </si>
  <si>
    <t xml:space="preserve">VAS-012</t>
  </si>
  <si>
    <t xml:space="preserve">Batch / Expiry Date Printing or Over-Printing</t>
  </si>
  <si>
    <t xml:space="preserve">VAS-013</t>
  </si>
  <si>
    <t xml:space="preserve">Assembly &amp; Rework</t>
  </si>
  <si>
    <t xml:space="preserve">Kitting / Bundling / Multi-Pack Assembly</t>
  </si>
  <si>
    <t xml:space="preserve">Retail / Promo</t>
  </si>
  <si>
    <t xml:space="preserve">Per Kit</t>
  </si>
  <si>
    <t xml:space="preserve">NEW - simple kit up to 5 components. Complex kits quoted per project.</t>
  </si>
  <si>
    <t xml:space="preserve">VAS-014</t>
  </si>
  <si>
    <t xml:space="preserve">De-Kitting / Unbundling</t>
  </si>
  <si>
    <t xml:space="preserve">Retail</t>
  </si>
  <si>
    <t xml:space="preserve">VAS-015</t>
  </si>
  <si>
    <t xml:space="preserve">Repacking / Carton Change</t>
  </si>
  <si>
    <t xml:space="preserve">NEW - excludes new carton cost, billed under PKG head.</t>
  </si>
  <si>
    <t xml:space="preserve">VAS-016</t>
  </si>
  <si>
    <t xml:space="preserve">Sorting / Segregation by SKU, Batch or Grade</t>
  </si>
  <si>
    <t xml:space="preserve">Per Man-Hour</t>
  </si>
  <si>
    <t xml:space="preserve">VAS-017</t>
  </si>
  <si>
    <t xml:space="preserve">Gift Wrapping / Promotional Pack Presentation</t>
  </si>
  <si>
    <t xml:space="preserve">Retail / E-Commerce</t>
  </si>
  <si>
    <t xml:space="preserve">VAS-018</t>
  </si>
  <si>
    <t xml:space="preserve">Shrink Sleeving / Heat Tunnel Application</t>
  </si>
  <si>
    <t xml:space="preserve">VAS-019</t>
  </si>
  <si>
    <t xml:space="preserve">Display / Point-of-Sale Stand Build</t>
  </si>
  <si>
    <t xml:space="preserve">Per Display</t>
  </si>
  <si>
    <t xml:space="preserve">VAS-020</t>
  </si>
  <si>
    <t xml:space="preserve">Cargo Preparation</t>
  </si>
  <si>
    <t xml:space="preserve">Export Wooden Packing / Crating (ISPM-15 Treated)</t>
  </si>
  <si>
    <t xml:space="preserve">NEW - includes ISPM-15 heat-treated timber and stamped certificate.</t>
  </si>
  <si>
    <t xml:space="preserve">VAS-021</t>
  </si>
  <si>
    <t xml:space="preserve">Fumigation Coordination &amp; Certificate</t>
  </si>
  <si>
    <t xml:space="preserve">Export - Wooden Packing</t>
  </si>
  <si>
    <t xml:space="preserve">NEW - third-party service, coordination and certification included.</t>
  </si>
  <si>
    <t xml:space="preserve">VAS-022</t>
  </si>
  <si>
    <t xml:space="preserve">Container Lashing &amp; Securing (Dunnage, Airbags, Straps)</t>
  </si>
  <si>
    <t xml:space="preserve">NEW - includes material and certified lashing labour.</t>
  </si>
  <si>
    <t xml:space="preserve">VAS-023</t>
  </si>
  <si>
    <t xml:space="preserve">Container Cleaning / Sweeping Prior to Stuffing</t>
  </si>
  <si>
    <t xml:space="preserve">NEW - mandatory for food-grade export loads.</t>
  </si>
  <si>
    <t xml:space="preserve">VAS-024</t>
  </si>
  <si>
    <t xml:space="preserve">Desiccant / Moisture Absorber Installation</t>
  </si>
  <si>
    <t xml:space="preserve">Export - Humidity Sensitive</t>
  </si>
  <si>
    <t xml:space="preserve">VAS-025</t>
  </si>
  <si>
    <t xml:space="preserve">Temperature Data Logger - Supply &amp; Activation</t>
  </si>
  <si>
    <t xml:space="preserve">Per Logger</t>
  </si>
  <si>
    <t xml:space="preserve">NEW - single-use logger. Multi-use logger with data download quoted separately.</t>
  </si>
  <si>
    <t xml:space="preserve">PKG-001</t>
  </si>
  <si>
    <t xml:space="preserve">Pallets</t>
  </si>
  <si>
    <t xml:space="preserve">Wooden Pallet - Used / Second Hand</t>
  </si>
  <si>
    <t xml:space="preserve">Client rate. Grade B, subject to availability.</t>
  </si>
  <si>
    <t xml:space="preserve">PKG-002</t>
  </si>
  <si>
    <t xml:space="preserve">Wooden Pallet - New (Standard 120 x 100 cm)</t>
  </si>
  <si>
    <t xml:space="preserve">PKG-003</t>
  </si>
  <si>
    <t xml:space="preserve">Wooden Pallet - New, ISPM-15 Heat Treated (Export Grade)</t>
  </si>
  <si>
    <t xml:space="preserve">NEW - mandatory for most export destinations.</t>
  </si>
  <si>
    <t xml:space="preserve">PKG-004</t>
  </si>
  <si>
    <t xml:space="preserve">Euro Pallet (120 x 80 cm)</t>
  </si>
  <si>
    <t xml:space="preserve">PKG-005</t>
  </si>
  <si>
    <t xml:space="preserve">Plastic / Hygienic Pallet (Food &amp; Pharma Grade)</t>
  </si>
  <si>
    <t xml:space="preserve">NEW - required where wooden pallets are not permitted in clean zones.</t>
  </si>
  <si>
    <t xml:space="preserve">PKG-006</t>
  </si>
  <si>
    <t xml:space="preserve">Slip Sheet</t>
  </si>
  <si>
    <t xml:space="preserve">Per Sheet</t>
  </si>
  <si>
    <t xml:space="preserve">PKG-007</t>
  </si>
  <si>
    <t xml:space="preserve">Consumables</t>
  </si>
  <si>
    <t xml:space="preserve">Stretch Film Roll</t>
  </si>
  <si>
    <t xml:space="preserve">Per Roll</t>
  </si>
  <si>
    <t xml:space="preserve">NEW - where billed by material rather than by CBM under VAS-001.</t>
  </si>
  <si>
    <t xml:space="preserve">PKG-008</t>
  </si>
  <si>
    <t xml:space="preserve">Bubble Wrap Roll</t>
  </si>
  <si>
    <t xml:space="preserve">PKG-009</t>
  </si>
  <si>
    <t xml:space="preserve">Carton Box - Small / Medium / Large</t>
  </si>
  <si>
    <t xml:space="preserve">NEW - indicative, size-banded pricing to be set in ERP item master.</t>
  </si>
  <si>
    <t xml:space="preserve">PKG-010</t>
  </si>
  <si>
    <t xml:space="preserve">Adhesive Tape Roll</t>
  </si>
  <si>
    <t xml:space="preserve">PKG-011</t>
  </si>
  <si>
    <t xml:space="preserve">Edge / Corner Protector</t>
  </si>
  <si>
    <t xml:space="preserve">PKG-012</t>
  </si>
  <si>
    <t xml:space="preserve">PP Strap / Steel Banding</t>
  </si>
  <si>
    <t xml:space="preserve">Per Metre</t>
  </si>
  <si>
    <t xml:space="preserve">PKG-013</t>
  </si>
  <si>
    <t xml:space="preserve">Void Fill / Air Cushion / Kraft Paper</t>
  </si>
  <si>
    <t xml:space="preserve">PKG-014</t>
  </si>
  <si>
    <t xml:space="preserve">Pallet Top Cover / Dust Sheet</t>
  </si>
  <si>
    <t xml:space="preserve">PKG-015</t>
  </si>
  <si>
    <t xml:space="preserve">Thermal / Barcode Label Stock</t>
  </si>
  <si>
    <t xml:space="preserve">Per 1,000 Labels</t>
  </si>
  <si>
    <t xml:space="preserve">PKG-016</t>
  </si>
  <si>
    <t xml:space="preserve">Security / Bolt Seal</t>
  </si>
  <si>
    <t xml:space="preserve">Per Seal</t>
  </si>
  <si>
    <t xml:space="preserve">PKG-017</t>
  </si>
  <si>
    <t xml:space="preserve">Thermal Blanket / Insulated Pallet Cover</t>
  </si>
  <si>
    <t xml:space="preserve">EQP-001</t>
  </si>
  <si>
    <t xml:space="preserve">Forklift Hire</t>
  </si>
  <si>
    <t xml:space="preserve">Forklift Hire - 1.5 Ton</t>
  </si>
  <si>
    <t xml:space="preserve">Excludes mobilisation / demobilisation (EQP-020) and operator (MAN-020). 8-hour shift.</t>
  </si>
  <si>
    <t xml:space="preserve">EQP-002</t>
  </si>
  <si>
    <t xml:space="preserve">Forklift Hire - 2.0 Ton</t>
  </si>
  <si>
    <t xml:space="preserve">Excludes mob / demob and operator. 8-hour shift.</t>
  </si>
  <si>
    <t xml:space="preserve">EQP-003</t>
  </si>
  <si>
    <t xml:space="preserve">Forklift Hire - 2.5 Ton</t>
  </si>
  <si>
    <t xml:space="preserve">EQP-004</t>
  </si>
  <si>
    <t xml:space="preserve">Forklift Hire - 3.0 Ton</t>
  </si>
  <si>
    <t xml:space="preserve">EQP-005</t>
  </si>
  <si>
    <t xml:space="preserve">Forklift Hire - 3.5 Ton</t>
  </si>
  <si>
    <t xml:space="preserve">EQP-006</t>
  </si>
  <si>
    <t xml:space="preserve">Forklift Hire - 5 Ton</t>
  </si>
  <si>
    <t xml:space="preserve">EQP-007</t>
  </si>
  <si>
    <t xml:space="preserve">Forklift Hire - 10 Ton</t>
  </si>
  <si>
    <t xml:space="preserve">EQP-008</t>
  </si>
  <si>
    <t xml:space="preserve">Forklift Hire - 15 Ton</t>
  </si>
  <si>
    <t xml:space="preserve">EQP-009</t>
  </si>
  <si>
    <t xml:space="preserve">Forklift Hire - Monthly Rate (2.5 Ton, 26 Days)</t>
  </si>
  <si>
    <t xml:space="preserve">Per Month</t>
  </si>
  <si>
    <t xml:space="preserve">NEW - monthly tier was missing. Indicative, adjust per fleet cost.</t>
  </si>
  <si>
    <t xml:space="preserve">EQP-010</t>
  </si>
  <si>
    <t xml:space="preserve">Forklift Hire - Hourly (Minimum 4 Hours)</t>
  </si>
  <si>
    <t xml:space="preserve">Per Hour</t>
  </si>
  <si>
    <t xml:space="preserve">NEW - hourly tier was missing, forcing full-day billing on short jobs.</t>
  </si>
  <si>
    <t xml:space="preserve">EQP-011</t>
  </si>
  <si>
    <t xml:space="preserve">Warehouse Equipment</t>
  </si>
  <si>
    <t xml:space="preserve">Reach Truck Hire (Narrow Aisle, High Rack)</t>
  </si>
  <si>
    <t xml:space="preserve">NEW - essential for racked warehouses above 6 m.</t>
  </si>
  <si>
    <t xml:space="preserve">EQP-012</t>
  </si>
  <si>
    <t xml:space="preserve">Electric Pallet Truck / Power Jack Hire</t>
  </si>
  <si>
    <t xml:space="preserve">EQP-013</t>
  </si>
  <si>
    <t xml:space="preserve">Manual Pallet Jack Hire</t>
  </si>
  <si>
    <t xml:space="preserve">EQP-014</t>
  </si>
  <si>
    <t xml:space="preserve">Scissor Lift / Boom Lift Hire</t>
  </si>
  <si>
    <t xml:space="preserve">EQP-015</t>
  </si>
  <si>
    <t xml:space="preserve">Container Loading Ramp / Dock Leveller Hire</t>
  </si>
  <si>
    <t xml:space="preserve">EQP-016</t>
  </si>
  <si>
    <t xml:space="preserve">Stretch Wrap Machine Hire</t>
  </si>
  <si>
    <t xml:space="preserve">EQP-017</t>
  </si>
  <si>
    <t xml:space="preserve">Pallet Weighing Scale Hire</t>
  </si>
  <si>
    <t xml:space="preserve">EQP-018</t>
  </si>
  <si>
    <t xml:space="preserve">Heavy Lift</t>
  </si>
  <si>
    <t xml:space="preserve">Mobile Crane Hire - 25 Ton (incl. Operator)</t>
  </si>
  <si>
    <t xml:space="preserve">Project / OOG</t>
  </si>
  <si>
    <t xml:space="preserve">NEW - required for out-of-gauge and project cargo.</t>
  </si>
  <si>
    <t xml:space="preserve">EQP-019</t>
  </si>
  <si>
    <t xml:space="preserve">Hiab / Truck-Mounted Crane (incl. Operator)</t>
  </si>
  <si>
    <t xml:space="preserve">EQP-020</t>
  </si>
  <si>
    <t xml:space="preserve">Equipment Ancillary</t>
  </si>
  <si>
    <t xml:space="preserve">Equipment Mobilisation / Demobilisation (Within Riyadh)</t>
  </si>
  <si>
    <t xml:space="preserve">Per Movement</t>
  </si>
  <si>
    <t xml:space="preserve">NEW - source card repeatedly noted 'excluding Mob/demob' but never created the charge line. Outside Riyadh quoted per trip.</t>
  </si>
  <si>
    <t xml:space="preserve">EQP-021</t>
  </si>
  <si>
    <t xml:space="preserve">Equipment Standby / Idle Time</t>
  </si>
  <si>
    <t xml:space="preserve">NEW - equipment on site but not utilised due to client delay.</t>
  </si>
  <si>
    <t xml:space="preserve">EQP-022</t>
  </si>
  <si>
    <t xml:space="preserve">Equipment Damage / Repair Recovery</t>
  </si>
  <si>
    <t xml:space="preserve">At Cost + 15%</t>
  </si>
  <si>
    <t xml:space="preserve">NEW - damage caused by client cargo or client-supplied operator.</t>
  </si>
  <si>
    <t xml:space="preserve">MAN-001</t>
  </si>
  <si>
    <t xml:space="preserve">Labour - Standard</t>
  </si>
  <si>
    <t xml:space="preserve">General Labour - Per Hour (Standard Shift)</t>
  </si>
  <si>
    <t xml:space="preserve">Client rate. Minimum 4 hours. Excludes food, accommodation and transport unless stated. Standard shift 8 hours, Sunday to Thursday, 08:00-17:00.</t>
  </si>
  <si>
    <t xml:space="preserve">MAN-002</t>
  </si>
  <si>
    <t xml:space="preserve">General Labour - Per Day (8 Hours, Standard Shift)</t>
  </si>
  <si>
    <t xml:space="preserve">Client rate. Excludes food, accommodation and transport unless stated. Standard shift 8 hours, Sunday to Thursday, 08:00-17:00.</t>
  </si>
  <si>
    <t xml:space="preserve">MAN-003</t>
  </si>
  <si>
    <t xml:space="preserve">General Labour - Per Month (26 Days)</t>
  </si>
  <si>
    <t xml:space="preserve">NEW - dedicated resource tier was missing. Excludes food, accommodation and transport unless stated. Standard shift 8 hours, Sunday to Thursday, 08:00-17:00.</t>
  </si>
  <si>
    <t xml:space="preserve">MAN-004</t>
  </si>
  <si>
    <t xml:space="preserve">Skilled Labour / Machine Operator - Per Day</t>
  </si>
  <si>
    <t xml:space="preserve">NEW. Excludes food, accommodation and transport unless stated. Standard shift 8 hours, Sunday to Thursday, 08:00-17:00.</t>
  </si>
  <si>
    <t xml:space="preserve">MAN-005</t>
  </si>
  <si>
    <t xml:space="preserve">Supervision</t>
  </si>
  <si>
    <t xml:space="preserve">Warehouse Supervisor - Per Hour (Standard Shift)</t>
  </si>
  <si>
    <t xml:space="preserve">CORRECTION #7 - source card had no standard supervisor rate, only an overtime rate. Standard tier created; overtime now sits at a proper premium above it.</t>
  </si>
  <si>
    <t xml:space="preserve">MAN-006</t>
  </si>
  <si>
    <t xml:space="preserve">Warehouse Supervisor - Per Day (8 Hours, Standard Shift)</t>
  </si>
  <si>
    <t xml:space="preserve">CORRECTION #7 - standard tier created. Excludes food, accommodation and transport unless stated. Standard shift 8 hours, Sunday to Thursday, 08:00-17:00.</t>
  </si>
  <si>
    <t xml:space="preserve">MAN-007</t>
  </si>
  <si>
    <t xml:space="preserve">Warehouse Supervisor - Per Month (26 Days)</t>
  </si>
  <si>
    <t xml:space="preserve">NEW - dedicated resource tier. Excludes food, accommodation and transport unless stated. Standard shift 8 hours, Sunday to Thursday, 08:00-17:00.</t>
  </si>
  <si>
    <t xml:space="preserve">MAN-008</t>
  </si>
  <si>
    <t xml:space="preserve">Dedicated Account / Operations Manager</t>
  </si>
  <si>
    <t xml:space="preserve">NEW - for large dedicated contracts.</t>
  </si>
  <si>
    <t xml:space="preserve">MAN-009</t>
  </si>
  <si>
    <t xml:space="preserve">Inventory Controller / WMS Data Entry Clerk</t>
  </si>
  <si>
    <t xml:space="preserve">MAN-010</t>
  </si>
  <si>
    <t xml:space="preserve">Overtime - Weekday</t>
  </si>
  <si>
    <t xml:space="preserve">General Labour - Overtime (Beyond 8 Hours, Sun-Thu)</t>
  </si>
  <si>
    <t xml:space="preserve">CORRECTION #8 - source card priced overtime labour at SAR 50/hr, identical to the standard rate. Saudi Labour Law Art. 107 requires a 50% overtime premium. Corrected to 1.5x standard.</t>
  </si>
  <si>
    <t xml:space="preserve">MAN-011</t>
  </si>
  <si>
    <t xml:space="preserve">Warehouse Supervisor - Overtime (Beyond 8 Hours, Sun-Thu)</t>
  </si>
  <si>
    <t xml:space="preserve">Client rate retained, now correctly positioned as 1.5x the new standard supervisor rate.</t>
  </si>
  <si>
    <t xml:space="preserve">MAN-012</t>
  </si>
  <si>
    <t xml:space="preserve">Weekend Working</t>
  </si>
  <si>
    <t xml:space="preserve">General Labour - Weekend (Friday / Saturday) Per Hour</t>
  </si>
  <si>
    <t xml:space="preserve">NEW - weekend tier was entirely absent from source card.</t>
  </si>
  <si>
    <t xml:space="preserve">MAN-013</t>
  </si>
  <si>
    <t xml:space="preserve">General Labour - Weekend (Friday / Saturday) Per Day</t>
  </si>
  <si>
    <t xml:space="preserve">NEW - weekend tier was absent.</t>
  </si>
  <si>
    <t xml:space="preserve">MAN-014</t>
  </si>
  <si>
    <t xml:space="preserve">Warehouse Supervisor - Weekend Per Hour</t>
  </si>
  <si>
    <t xml:space="preserve">MAN-015</t>
  </si>
  <si>
    <t xml:space="preserve">Warehouse Supervisor - Weekend Per Day</t>
  </si>
  <si>
    <t xml:space="preserve">MAN-016</t>
  </si>
  <si>
    <t xml:space="preserve">Public Holiday</t>
  </si>
  <si>
    <t xml:space="preserve">General Labour - Public / Local Holiday Per Hour</t>
  </si>
  <si>
    <t xml:space="preserve">CORRECTION #9 - source card showed SAR 750/hour against SAR 450/day, i.e. the hourly rate exceeded the full-day rate. Rebuilt so day rate = 7 x hourly.</t>
  </si>
  <si>
    <t xml:space="preserve">MAN-017</t>
  </si>
  <si>
    <t xml:space="preserve">General Labour - Public / Local Holiday Per Day</t>
  </si>
  <si>
    <t xml:space="preserve">CORRECTION #9 - rebuilt on a consistent 7 x hourly basis.</t>
  </si>
  <si>
    <t xml:space="preserve">MAN-018</t>
  </si>
  <si>
    <t xml:space="preserve">Warehouse Supervisor - Public / Local Holiday Per Hour</t>
  </si>
  <si>
    <t xml:space="preserve">CORRECTION #9 - source SAR 250/hr vs SAR 950/day was internally inconsistent. Rebuilt.</t>
  </si>
  <si>
    <t xml:space="preserve">MAN-019</t>
  </si>
  <si>
    <t xml:space="preserve">Warehouse Supervisor - Public / Local Holiday Per Day</t>
  </si>
  <si>
    <t xml:space="preserve">MAN-020</t>
  </si>
  <si>
    <t xml:space="preserve">Eid &amp; Govt Holiday</t>
  </si>
  <si>
    <t xml:space="preserve">General Labour - Eid / Government Holiday Per Hour</t>
  </si>
  <si>
    <t xml:space="preserve">CORRECTION #10 - source SAR 200/hr x 8 = SAR 1,600 against a SAR 700 day rate. Rebuilt on a consistent basis.</t>
  </si>
  <si>
    <t xml:space="preserve">MAN-021</t>
  </si>
  <si>
    <t xml:space="preserve">General Labour - Eid / Government Holiday Per Day</t>
  </si>
  <si>
    <t xml:space="preserve">CORRECTION #10 - rebuilt on a consistent 7 x hourly basis.</t>
  </si>
  <si>
    <t xml:space="preserve">MAN-022</t>
  </si>
  <si>
    <t xml:space="preserve">Warehouse Supervisor - Eid / Government Holiday Per Hour</t>
  </si>
  <si>
    <t xml:space="preserve">Client rate retained.</t>
  </si>
  <si>
    <t xml:space="preserve">MAN-023</t>
  </si>
  <si>
    <t xml:space="preserve">Warehouse Supervisor - Eid / Government Holiday Per Day</t>
  </si>
  <si>
    <t xml:space="preserve">CORRECTION #10 - source SAR 1,500 raised to hold the 7 x hourly relationship. Confirm.</t>
  </si>
  <si>
    <t xml:space="preserve">MAN-024</t>
  </si>
  <si>
    <t xml:space="preserve">Shift Premiums</t>
  </si>
  <si>
    <t xml:space="preserve">Night Shift Premium (22:00 - 06:00)</t>
  </si>
  <si>
    <t xml:space="preserve">% of Labour Rate</t>
  </si>
  <si>
    <t xml:space="preserve">NEW - night operations tier was absent.</t>
  </si>
  <si>
    <t xml:space="preserve">MAN-025</t>
  </si>
  <si>
    <t xml:space="preserve">Forklift Operator - Per Day (up to 3.5 Ton Machine)</t>
  </si>
  <si>
    <t xml:space="preserve">MAN-026</t>
  </si>
  <si>
    <t xml:space="preserve">Forklift Operator - Per Day (5 Ton Machine)</t>
  </si>
  <si>
    <t xml:space="preserve">MAN-027</t>
  </si>
  <si>
    <t xml:space="preserve">Forklift Operator - Per Day (10 Ton Machine)</t>
  </si>
  <si>
    <t xml:space="preserve">MAN-028</t>
  </si>
  <si>
    <t xml:space="preserve">Forklift Operator - Per Day (15 Ton Machine)</t>
  </si>
  <si>
    <t xml:space="preserve">MAN-029</t>
  </si>
  <si>
    <t xml:space="preserve">Manpower Food, Accommodation &amp; Transport (Out-of-Station)</t>
  </si>
  <si>
    <t xml:space="preserve">Per Man / Day</t>
  </si>
  <si>
    <t xml:space="preserve">NEW - source card excluded these everywhere but never created a recovery line.</t>
  </si>
  <si>
    <t xml:space="preserve">MAN-030</t>
  </si>
  <si>
    <t xml:space="preserve">DG-Certified Handler Premium</t>
  </si>
  <si>
    <t xml:space="preserve">NEW - certified DG handling personnel command a premium.</t>
  </si>
  <si>
    <t xml:space="preserve">INV-001</t>
  </si>
  <si>
    <t xml:space="preserve">Inventory Control</t>
  </si>
  <si>
    <t xml:space="preserve">Inventory Management Charge</t>
  </si>
  <si>
    <t xml:space="preserve">Per Pallet / Month</t>
  </si>
  <si>
    <t xml:space="preserve">Client rate. Covers WMS record maintenance, location control and standard reporting.</t>
  </si>
  <si>
    <t xml:space="preserve">INV-002</t>
  </si>
  <si>
    <t xml:space="preserve">Cycle Count (Partial / Rolling Stock Count)</t>
  </si>
  <si>
    <t xml:space="preserve">CORRECTION #11 - source line read only 'Stock cycle SAR 5/Pallet' with no unit or frequency. Clarified as a per-occurrence cycle count.</t>
  </si>
  <si>
    <t xml:space="preserve">INV-003</t>
  </si>
  <si>
    <t xml:space="preserve">Full Physical Stock Take (Wall-to-Wall)</t>
  </si>
  <si>
    <t xml:space="preserve">NEW - annual or on-demand full count. Operations suspended during count.</t>
  </si>
  <si>
    <t xml:space="preserve">INV-004</t>
  </si>
  <si>
    <t xml:space="preserve">Piece-Level Stock Count</t>
  </si>
  <si>
    <t xml:space="preserve">INV-005</t>
  </si>
  <si>
    <t xml:space="preserve">Stock Reconciliation &amp; Variance Investigation Report</t>
  </si>
  <si>
    <t xml:space="preserve">INV-006</t>
  </si>
  <si>
    <t xml:space="preserve">SKU Master Creation / Item Setup in WMS</t>
  </si>
  <si>
    <t xml:space="preserve">Per SKU</t>
  </si>
  <si>
    <t xml:space="preserve">One-Time</t>
  </si>
  <si>
    <t xml:space="preserve">NEW - onboarding revenue line commonly missed.</t>
  </si>
  <si>
    <t xml:space="preserve">INV-007</t>
  </si>
  <si>
    <t xml:space="preserve">SKU Master Amendment</t>
  </si>
  <si>
    <t xml:space="preserve">INV-008</t>
  </si>
  <si>
    <t xml:space="preserve">Expiry / Shelf-Life Monitoring &amp; Alert Service</t>
  </si>
  <si>
    <t xml:space="preserve">Per SKU / Month</t>
  </si>
  <si>
    <t xml:space="preserve">NEW - FEFO monitoring with configurable alert thresholds.</t>
  </si>
  <si>
    <t xml:space="preserve">INV-009</t>
  </si>
  <si>
    <t xml:space="preserve">Stock Ageing Report (Ad-Hoc)</t>
  </si>
  <si>
    <t xml:space="preserve">INV-010</t>
  </si>
  <si>
    <t xml:space="preserve">Serial / Batch Traceability Report</t>
  </si>
  <si>
    <t xml:space="preserve">DOC-001</t>
  </si>
  <si>
    <t xml:space="preserve">Standard Documentation</t>
  </si>
  <si>
    <t xml:space="preserve">Delivery Note / Dispatch Advice Issuance</t>
  </si>
  <si>
    <t xml:space="preserve">Per Document</t>
  </si>
  <si>
    <t xml:space="preserve">DOC-002</t>
  </si>
  <si>
    <t xml:space="preserve">Standard Monthly Inventory &amp; Activity Report</t>
  </si>
  <si>
    <t xml:space="preserve">No</t>
  </si>
  <si>
    <t xml:space="preserve">NEW - included free of charge. Listed so the ERP shows it as a delivered service with nil value.</t>
  </si>
  <si>
    <t xml:space="preserve">DOC-003</t>
  </si>
  <si>
    <t xml:space="preserve">Ad-Hoc / Customised Report Generation</t>
  </si>
  <si>
    <t xml:space="preserve">DOC-004</t>
  </si>
  <si>
    <t xml:space="preserve">Document Copy / Archive Retrieval (Beyond 6 Months)</t>
  </si>
  <si>
    <t xml:space="preserve">DOC-005</t>
  </si>
  <si>
    <t xml:space="preserve">Certificate of Storage / Warehouse Receipt Issuance</t>
  </si>
  <si>
    <t xml:space="preserve">Per Certificate</t>
  </si>
  <si>
    <t xml:space="preserve">NEW - often required for bank financing and LC purposes.</t>
  </si>
  <si>
    <t xml:space="preserve">DOC-006</t>
  </si>
  <si>
    <t xml:space="preserve">Warehouse Warrant / Negotiable Receipt</t>
  </si>
  <si>
    <t xml:space="preserve">Bonded / Commodity</t>
  </si>
  <si>
    <t xml:space="preserve">Per Warrant</t>
  </si>
  <si>
    <t xml:space="preserve">DOC-007</t>
  </si>
  <si>
    <t xml:space="preserve">CCTV Footage Retrieval &amp; Copy</t>
  </si>
  <si>
    <t xml:space="preserve">Per Request</t>
  </si>
  <si>
    <t xml:space="preserve">NEW - subject to retention period and data protection clearance.</t>
  </si>
  <si>
    <t xml:space="preserve">DOC-008</t>
  </si>
  <si>
    <t xml:space="preserve">Third-Party Audit Hosting &amp; Facilitation</t>
  </si>
  <si>
    <t xml:space="preserve">Per Audit Day</t>
  </si>
  <si>
    <t xml:space="preserve">NEW - client or regulator audits requiring dedicated staff attendance.</t>
  </si>
  <si>
    <t xml:space="preserve">DOC-009</t>
  </si>
  <si>
    <t xml:space="preserve">Client Site Visit Escort (Beyond 2 Visits / Month)</t>
  </si>
  <si>
    <t xml:space="preserve">Per Visit</t>
  </si>
  <si>
    <t xml:space="preserve">CMP-001</t>
  </si>
  <si>
    <t xml:space="preserve">Regulatory</t>
  </si>
  <si>
    <t xml:space="preserve">SFDA Storage Licence Sponsorship / Facility Listing</t>
  </si>
  <si>
    <t xml:space="preserve">Food, Pharma, Cosmetics, Feed</t>
  </si>
  <si>
    <t xml:space="preserve">Per Client / Year</t>
  </si>
  <si>
    <t xml:space="preserve">Recurring - Annual</t>
  </si>
  <si>
    <t xml:space="preserve">NEW - covers listing the client's product under the facility licence, inspection support and renewal. Government fees at cost.</t>
  </si>
  <si>
    <t xml:space="preserve">CMP-002</t>
  </si>
  <si>
    <t xml:space="preserve">SFDA Inspection Attendance &amp; Facilitation</t>
  </si>
  <si>
    <t xml:space="preserve">Regulated Cargo</t>
  </si>
  <si>
    <t xml:space="preserve">Per Inspection</t>
  </si>
  <si>
    <t xml:space="preserve">CMP-003</t>
  </si>
  <si>
    <t xml:space="preserve">SFDA Release / Hold Coordination</t>
  </si>
  <si>
    <t xml:space="preserve">CMP-004</t>
  </si>
  <si>
    <t xml:space="preserve">Municipality / Civil Defense Inspection Support</t>
  </si>
  <si>
    <t xml:space="preserve">CMP-005</t>
  </si>
  <si>
    <t xml:space="preserve">DG Classification Review &amp; MSDS Filing</t>
  </si>
  <si>
    <t xml:space="preserve">NEW - mandatory technical review before DG acceptance.</t>
  </si>
  <si>
    <t xml:space="preserve">CMP-006</t>
  </si>
  <si>
    <t xml:space="preserve">DG Segregation Plan &amp; Compatibility Assessment</t>
  </si>
  <si>
    <t xml:space="preserve">CMP-007</t>
  </si>
  <si>
    <t xml:space="preserve">SASO / SABER Conformity Documentation Support</t>
  </si>
  <si>
    <t xml:space="preserve">Imports</t>
  </si>
  <si>
    <t xml:space="preserve">NEW - common KSA import compliance requirement.</t>
  </si>
  <si>
    <t xml:space="preserve">CMP-008</t>
  </si>
  <si>
    <t xml:space="preserve">Customs &amp; Bond</t>
  </si>
  <si>
    <t xml:space="preserve">Customs Bonded Entry (Into Bond)</t>
  </si>
  <si>
    <t xml:space="preserve">Bonded Cargo</t>
  </si>
  <si>
    <t xml:space="preserve">Per Declaration</t>
  </si>
  <si>
    <t xml:space="preserve">NEW. Government and Fasah fees at cost.</t>
  </si>
  <si>
    <t xml:space="preserve">CMP-009</t>
  </si>
  <si>
    <t xml:space="preserve">Customs Bonded Exit (Ex-Bond Clearance)</t>
  </si>
  <si>
    <t xml:space="preserve">CMP-010</t>
  </si>
  <si>
    <t xml:space="preserve">Customs Inspection Attendance &amp; Presentation</t>
  </si>
  <si>
    <t xml:space="preserve">Bonded / Import</t>
  </si>
  <si>
    <t xml:space="preserve">CMP-011</t>
  </si>
  <si>
    <t xml:space="preserve">Fasah / Customs Platform Documentation Handling</t>
  </si>
  <si>
    <t xml:space="preserve">Import / Export</t>
  </si>
  <si>
    <t xml:space="preserve">CMP-012</t>
  </si>
  <si>
    <t xml:space="preserve">Duty, Tax &amp; Government Fee Disbursement Handling</t>
  </si>
  <si>
    <t xml:space="preserve">Import</t>
  </si>
  <si>
    <t xml:space="preserve">% of Disbursed Value</t>
  </si>
  <si>
    <t xml:space="preserve">NEW - 2% handling on funds advanced on the client's behalf, minimum SAR 250.</t>
  </si>
  <si>
    <t xml:space="preserve">CMP-013</t>
  </si>
  <si>
    <t xml:space="preserve">Re-Export Documentation &amp; Coordination</t>
  </si>
  <si>
    <t xml:space="preserve">RET-001</t>
  </si>
  <si>
    <t xml:space="preserve">Returns Processing</t>
  </si>
  <si>
    <t xml:space="preserve">Return Receipt &amp; Booking (B2B)</t>
  </si>
  <si>
    <t xml:space="preserve">Per Return</t>
  </si>
  <si>
    <t xml:space="preserve">NEW - returns handling was entirely absent from the source card.</t>
  </si>
  <si>
    <t xml:space="preserve">RET-002</t>
  </si>
  <si>
    <t xml:space="preserve">Return Receipt &amp; Booking (B2C / E-Commerce Parcel)</t>
  </si>
  <si>
    <t xml:space="preserve">RET-003</t>
  </si>
  <si>
    <t xml:space="preserve">Return Inspection &amp; Disposition Decision</t>
  </si>
  <si>
    <t xml:space="preserve">NEW - grade A / B / C or scrap classification with photo record.</t>
  </si>
  <si>
    <t xml:space="preserve">RET-004</t>
  </si>
  <si>
    <t xml:space="preserve">Refurbishment / Cleaning / Re-Packing of Returns</t>
  </si>
  <si>
    <t xml:space="preserve">RET-005</t>
  </si>
  <si>
    <t xml:space="preserve">Re-Stocking to Sellable Inventory</t>
  </si>
  <si>
    <t xml:space="preserve">RET-006</t>
  </si>
  <si>
    <t xml:space="preserve">Disposal</t>
  </si>
  <si>
    <t xml:space="preserve">Product Destruction / Disposal Coordination</t>
  </si>
  <si>
    <t xml:space="preserve">NEW - includes certified disposal vendor coordination.</t>
  </si>
  <si>
    <t xml:space="preserve">RET-007</t>
  </si>
  <si>
    <t xml:space="preserve">Certificate of Destruction Issuance</t>
  </si>
  <si>
    <t xml:space="preserve">NEW - mandatory for SFDA-regulated product write-off.</t>
  </si>
  <si>
    <t xml:space="preserve">RET-008</t>
  </si>
  <si>
    <t xml:space="preserve">Scrap / Waste Removal &amp; Skip Hire</t>
  </si>
  <si>
    <t xml:space="preserve">Per Skip</t>
  </si>
  <si>
    <t xml:space="preserve">RET-009</t>
  </si>
  <si>
    <t xml:space="preserve">DG / Hazardous Waste Disposal</t>
  </si>
  <si>
    <t xml:space="preserve">At Cost + 20%</t>
  </si>
  <si>
    <t xml:space="preserve">NEW - via licensed hazardous waste contractor.</t>
  </si>
  <si>
    <t xml:space="preserve">RET-010</t>
  </si>
  <si>
    <t xml:space="preserve">Abandoned Cargo Handling &amp; Clearance</t>
  </si>
  <si>
    <t xml:space="preserve">NEW - invoked under the lien and abandonment clause of the storage agreement.</t>
  </si>
  <si>
    <t xml:space="preserve">TRP-001</t>
  </si>
  <si>
    <t xml:space="preserve">Local Distribution</t>
  </si>
  <si>
    <t xml:space="preserve">Local Delivery within Riyadh - 3 Ton Truck</t>
  </si>
  <si>
    <t xml:space="preserve">Per Trip</t>
  </si>
  <si>
    <t xml:space="preserve">NEW - transport was absent from the source card. Includes 2 hours free time at each end.</t>
  </si>
  <si>
    <t xml:space="preserve">TRP-002</t>
  </si>
  <si>
    <t xml:space="preserve">Local Delivery within Riyadh - 5 Ton Truck</t>
  </si>
  <si>
    <t xml:space="preserve">TRP-003</t>
  </si>
  <si>
    <t xml:space="preserve">Local Delivery within Riyadh - 10 Ton Truck</t>
  </si>
  <si>
    <t xml:space="preserve">TRP-004</t>
  </si>
  <si>
    <t xml:space="preserve">Local Delivery within Riyadh - Trailer / 40 ft</t>
  </si>
  <si>
    <t xml:space="preserve">TRP-005</t>
  </si>
  <si>
    <t xml:space="preserve">Multi-Drop Surcharge (Per Additional Stop)</t>
  </si>
  <si>
    <t xml:space="preserve">Per Stop</t>
  </si>
  <si>
    <t xml:space="preserve">TRP-006</t>
  </si>
  <si>
    <t xml:space="preserve">Last Mile / Parcel Delivery (B2C)</t>
  </si>
  <si>
    <t xml:space="preserve">TRP-007</t>
  </si>
  <si>
    <t xml:space="preserve">Line Haul</t>
  </si>
  <si>
    <t xml:space="preserve">Intercity Line Haul (Riyadh - Jeddah / Dammam)</t>
  </si>
  <si>
    <t xml:space="preserve">NEW - quoted per lane and vehicle type. Set rate table in ERP by origin-destination pair.</t>
  </si>
  <si>
    <t xml:space="preserve">TRP-008</t>
  </si>
  <si>
    <t xml:space="preserve">Container Haulage - Port to Warehouse</t>
  </si>
  <si>
    <t xml:space="preserve">NEW - quoted per port and container size.</t>
  </si>
  <si>
    <t xml:space="preserve">TRP-009</t>
  </si>
  <si>
    <t xml:space="preserve">Reefer Truck Surcharge (Temperature Controlled Transport)</t>
  </si>
  <si>
    <t xml:space="preserve">% of Base Freight</t>
  </si>
  <si>
    <t xml:space="preserve">TRP-010</t>
  </si>
  <si>
    <t xml:space="preserve">DG Transport Surcharge (ADR-Compliant Vehicle)</t>
  </si>
  <si>
    <t xml:space="preserve">TRP-011</t>
  </si>
  <si>
    <t xml:space="preserve">Transport Ancillary</t>
  </si>
  <si>
    <t xml:space="preserve">Truck Waiting / Detention Beyond Free Time</t>
  </si>
  <si>
    <t xml:space="preserve">TRP-012</t>
  </si>
  <si>
    <t xml:space="preserve">Failed Delivery / Consignee Refusal - Return Trip</t>
  </si>
  <si>
    <t xml:space="preserve">NEW - charged at 50% of the original delivery rate, minimum SAR 250.</t>
  </si>
  <si>
    <t xml:space="preserve">TRP-013</t>
  </si>
  <si>
    <t xml:space="preserve">Port Demurrage &amp; Detention Recovery</t>
  </si>
  <si>
    <t xml:space="preserve">At Cost + 10%</t>
  </si>
  <si>
    <t xml:space="preserve">NEW - shipping line charges recovered with an administration margin.</t>
  </si>
  <si>
    <t xml:space="preserve">ITS-001</t>
  </si>
  <si>
    <t xml:space="preserve">Onboarding</t>
  </si>
  <si>
    <t xml:space="preserve">Client Onboarding &amp; Implementation Fee</t>
  </si>
  <si>
    <t xml:space="preserve">NEW - covers SOP development, WMS configuration, zone setup, staff training and go-live support. Commonly waived against a 24-month commitment.</t>
  </si>
  <si>
    <t xml:space="preserve">ITS-002</t>
  </si>
  <si>
    <t xml:space="preserve">WMS Client Portal User Licence</t>
  </si>
  <si>
    <t xml:space="preserve">Per User / Month</t>
  </si>
  <si>
    <t xml:space="preserve">NEW - first 2 users typically included free.</t>
  </si>
  <si>
    <t xml:space="preserve">ITS-003</t>
  </si>
  <si>
    <t xml:space="preserve">EDI / API Integration - Setup</t>
  </si>
  <si>
    <t xml:space="preserve">NEW - one-time development and UAT for client ERP integration.</t>
  </si>
  <si>
    <t xml:space="preserve">ITS-004</t>
  </si>
  <si>
    <t xml:space="preserve">EDI / API Integration - Monthly Maintenance &amp; Support</t>
  </si>
  <si>
    <t xml:space="preserve">ITS-005</t>
  </si>
  <si>
    <t xml:space="preserve">Custom Report / Dashboard Development</t>
  </si>
  <si>
    <t xml:space="preserve">Per Man-Day</t>
  </si>
  <si>
    <t xml:space="preserve">ITS-006</t>
  </si>
  <si>
    <t xml:space="preserve">Barcode / RFID Tagging Programme Setup</t>
  </si>
  <si>
    <t xml:space="preserve">ITS-007</t>
  </si>
  <si>
    <t xml:space="preserve">De-Mobilisation / Exit Transition Fee</t>
  </si>
  <si>
    <t xml:space="preserve">NEW - covers stock hand-over, final reconciliation, data extract and location clearance.</t>
  </si>
  <si>
    <t xml:space="preserve">INS-001</t>
  </si>
  <si>
    <t xml:space="preserve">Cargo Insurance</t>
  </si>
  <si>
    <t xml:space="preserve">Cargo Insurance - Storage Cover (All Risk)</t>
  </si>
  <si>
    <t xml:space="preserve">% of Declared Value / Year</t>
  </si>
  <si>
    <t xml:space="preserve">CORRECTION #12 - source read only '1% of cargo insurance', which is not a chargeable basis. Restated as 1% per annum of declared cargo value, minimum premium SAR 1,500. Client must declare value in writing.</t>
  </si>
  <si>
    <t xml:space="preserve">INS-002</t>
  </si>
  <si>
    <t xml:space="preserve">Cargo Insurance - High Value / Regulated Cargo Loading</t>
  </si>
  <si>
    <t xml:space="preserve">High Value, Pharma, DG</t>
  </si>
  <si>
    <t xml:space="preserve">NEW - loaded rate for elevated risk classes.</t>
  </si>
  <si>
    <t xml:space="preserve">INS-003</t>
  </si>
  <si>
    <t xml:space="preserve">Insurance Arrangement / Administration Fee</t>
  </si>
  <si>
    <t xml:space="preserve">Per Policy</t>
  </si>
  <si>
    <t xml:space="preserve">NEW - charged where the 3PL arranges cover on the client's behalf.</t>
  </si>
  <si>
    <t xml:space="preserve">INS-004</t>
  </si>
  <si>
    <t xml:space="preserve">Liability</t>
  </si>
  <si>
    <t xml:space="preserve">Warehouse Legal Liability - Standard Cap</t>
  </si>
  <si>
    <t xml:space="preserve">Per Claim</t>
  </si>
  <si>
    <t xml:space="preserve">NEW - NOT A CHARGE. Liability limited to SAR 100 per kg of affected cargo or SAR 50,000 per event, whichever is lower, unless separate cargo insurance is purchased. Include in T&amp;C.</t>
  </si>
  <si>
    <t xml:space="preserve">INS-005</t>
  </si>
  <si>
    <t xml:space="preserve">Uninsured Cargo Declaration Waiver</t>
  </si>
  <si>
    <t xml:space="preserve">Per Client</t>
  </si>
  <si>
    <t xml:space="preserve">NEW - NOT A CHARGE. Signed waiver required where the client declines insurance. Cargo then stored entirely at owner's risk.</t>
  </si>
  <si>
    <t xml:space="preserve">INS-006</t>
  </si>
  <si>
    <t xml:space="preserve">Claim Handling &amp; Investigation Fee</t>
  </si>
  <si>
    <t xml:space="preserve">NEW - waived where the claim is upheld against the 3PL.</t>
  </si>
  <si>
    <t xml:space="preserve">ANC-001</t>
  </si>
  <si>
    <t xml:space="preserve">Waiting &amp; Delay</t>
  </si>
  <si>
    <t xml:space="preserve">Vehicle Waiting / Detention Beyond Free Time (Truck)</t>
  </si>
  <si>
    <t xml:space="preserve">NEW - free time defined per handling line above.</t>
  </si>
  <si>
    <t xml:space="preserve">ANC-002</t>
  </si>
  <si>
    <t xml:space="preserve">Container Waiting / Detention Beyond Free Time</t>
  </si>
  <si>
    <t xml:space="preserve">ANC-003</t>
  </si>
  <si>
    <t xml:space="preserve">Booking No-Show / Cancellation Within 4 Hours of Slot</t>
  </si>
  <si>
    <t xml:space="preserve">Per Booking</t>
  </si>
  <si>
    <t xml:space="preserve">NEW - protects dock slot utilisation.</t>
  </si>
  <si>
    <t xml:space="preserve">ANC-004</t>
  </si>
  <si>
    <t xml:space="preserve">Unscheduled / Unbooked Arrival Surcharge</t>
  </si>
  <si>
    <t xml:space="preserve">Per Vehicle</t>
  </si>
  <si>
    <t xml:space="preserve">NEW - vehicles arriving without a confirmed dock appointment.</t>
  </si>
  <si>
    <t xml:space="preserve">ANC-005</t>
  </si>
  <si>
    <t xml:space="preserve">Out of Hours</t>
  </si>
  <si>
    <t xml:space="preserve">After-Hours Gate Opening / Facility Access</t>
  </si>
  <si>
    <t xml:space="preserve">Per Occurrence</t>
  </si>
  <si>
    <t xml:space="preserve">NEW - outside 08:00-17:00 Sunday to Thursday.</t>
  </si>
  <si>
    <t xml:space="preserve">ANC-006</t>
  </si>
  <si>
    <t xml:space="preserve">Weekend Facility Opening (Friday / Saturday)</t>
  </si>
  <si>
    <t xml:space="preserve">ANC-007</t>
  </si>
  <si>
    <t xml:space="preserve">Public / Eid Holiday Facility Opening</t>
  </si>
  <si>
    <t xml:space="preserve">ANC-008</t>
  </si>
  <si>
    <t xml:space="preserve">Emergency / Out-of-Hours Call-Out</t>
  </si>
  <si>
    <t xml:space="preserve">Per Call-Out</t>
  </si>
  <si>
    <t xml:space="preserve">ANC-009</t>
  </si>
  <si>
    <t xml:space="preserve">Facility Services</t>
  </si>
  <si>
    <t xml:space="preserve">Pest Control Programme (Dedicated Client Area)</t>
  </si>
  <si>
    <t xml:space="preserve">Food, Feed, Pharma</t>
  </si>
  <si>
    <t xml:space="preserve">NEW - mandatory for SFDA-licensed food and feed zones.</t>
  </si>
  <si>
    <t xml:space="preserve">ANC-010</t>
  </si>
  <si>
    <t xml:space="preserve">Deep Cleaning / Sanitisation of Client Area</t>
  </si>
  <si>
    <t xml:space="preserve">ANC-011</t>
  </si>
  <si>
    <t xml:space="preserve">Spillage / Contamination Clean-Up</t>
  </si>
  <si>
    <t xml:space="preserve">DG, Chemicals, Liquids</t>
  </si>
  <si>
    <t xml:space="preserve">NEW - recovered from the client where caused by their cargo.</t>
  </si>
  <si>
    <t xml:space="preserve">ANC-012</t>
  </si>
  <si>
    <t xml:space="preserve">Dedicated Security Guard</t>
  </si>
  <si>
    <t xml:space="preserve">High Value</t>
  </si>
  <si>
    <t xml:space="preserve">Per Guard / Month</t>
  </si>
  <si>
    <t xml:space="preserve">ANC-013</t>
  </si>
  <si>
    <t xml:space="preserve">Backup Generator Fuel Surcharge (Extended Power Outage)</t>
  </si>
  <si>
    <t xml:space="preserve">At Cost</t>
  </si>
  <si>
    <t xml:space="preserve">NEW - applies beyond 8 continuous hours of grid failure.</t>
  </si>
  <si>
    <t xml:space="preserve">ANC-014</t>
  </si>
  <si>
    <t xml:space="preserve">Commercial</t>
  </si>
  <si>
    <t xml:space="preserve">Third-Party Service Disbursement Handling</t>
  </si>
  <si>
    <t xml:space="preserve">NEW - services procured on the client's behalf, recovered at cost plus 10%.</t>
  </si>
  <si>
    <t xml:space="preserve">ANC-015</t>
  </si>
  <si>
    <t xml:space="preserve">Minimum Monthly Invoice Value</t>
  </si>
  <si>
    <t xml:space="preserve">NEW - floor applied when total monthly billing falls below this value.</t>
  </si>
  <si>
    <t xml:space="preserve">ANC-016</t>
  </si>
  <si>
    <t xml:space="preserve">Late Payment Charge</t>
  </si>
  <si>
    <t xml:space="preserve">% per Month on Overdue</t>
  </si>
  <si>
    <t xml:space="preserve">NEW - 1.5% per month on balances beyond agreed credit terms.</t>
  </si>
  <si>
    <t xml:space="preserve">ANC-017</t>
  </si>
  <si>
    <t xml:space="preserve">Fuel Surcharge Adjustment</t>
  </si>
  <si>
    <t xml:space="preserve">Transport</t>
  </si>
  <si>
    <t xml:space="preserve">% of Freight</t>
  </si>
  <si>
    <t xml:space="preserve">NEW - index-linked, reviewed quarterly. Set at 0% at contract start.</t>
  </si>
  <si>
    <t xml:space="preserve">ANC-018</t>
  </si>
  <si>
    <t xml:space="preserve">Annual Rate Escalation</t>
  </si>
  <si>
    <t xml:space="preserve">% of Contract Value</t>
  </si>
  <si>
    <t xml:space="preserve">NEW - NOT A LINE CHARGE. Contractual escalation clause, applied at each anniversary. Include in T&amp;C.</t>
  </si>
  <si>
    <t xml:space="preserve">TOTAL CHARGE LINES</t>
  </si>
  <si>
    <t xml:space="preserve">Client Provided (unchanged)</t>
  </si>
  <si>
    <t xml:space="preserve">STORAGE RATE MATRIX BY CARGO CLASS</t>
  </si>
  <si>
    <t xml:space="preserve">Column E computes what the daily rate implies as a monthly equivalent (daily x 30) and column F shows the uplift over the stated monthly rate. A consistent card should show a similar uplift on every row - see Correction #2.</t>
  </si>
  <si>
    <t xml:space="preserve">Cargo Class</t>
  </si>
  <si>
    <t xml:space="preserve">Rate / SQM / Month</t>
  </si>
  <si>
    <t xml:space="preserve">Rate / Pallet Position / Month</t>
  </si>
  <si>
    <t xml:space="preserve">Rate / Pallet / Day</t>
  </si>
  <si>
    <t xml:space="preserve">Implied Monthly (Daily x 30)</t>
  </si>
  <si>
    <t xml:space="preserve">Uplift vs Monthly</t>
  </si>
  <si>
    <t xml:space="preserve">Approval / Licence Required</t>
  </si>
  <si>
    <t xml:space="preserve">General Cargo (Ambient / Dry)</t>
  </si>
  <si>
    <t xml:space="preserve">Municipality / Civil Defense</t>
  </si>
  <si>
    <t xml:space="preserve">Temperature Controlled, Non-Food (18-25 C)</t>
  </si>
  <si>
    <t xml:space="preserve">Food - Temperature Controlled (18-25 C)</t>
  </si>
  <si>
    <t xml:space="preserve">SFDA Food Storage Licence</t>
  </si>
  <si>
    <t xml:space="preserve">Food - Dry / Non-Temperature Controlled</t>
  </si>
  <si>
    <t xml:space="preserve">Medical Devices (18-25 C)</t>
  </si>
  <si>
    <t xml:space="preserve">SFDA Medical Device Storage Licence</t>
  </si>
  <si>
    <t xml:space="preserve">Cosmetics (18-25 C)</t>
  </si>
  <si>
    <t xml:space="preserve">SFDA Cosmetics Storage Licence</t>
  </si>
  <si>
    <t xml:space="preserve">Animal Feed (18-25 C)</t>
  </si>
  <si>
    <t xml:space="preserve">SFDA Animal Feed Storage Licence</t>
  </si>
  <si>
    <t xml:space="preserve">Dangerous Goods - Dry / Ambient</t>
  </si>
  <si>
    <t xml:space="preserve">MOI-Approved DG Warehouse</t>
  </si>
  <si>
    <t xml:space="preserve">Dangerous Goods - Temp. Controlled (18-25 C)</t>
  </si>
  <si>
    <t xml:space="preserve">General Chemicals (Non-DG), Ambient</t>
  </si>
  <si>
    <t xml:space="preserve">3PL General Chemical Approved Warehouse</t>
  </si>
  <si>
    <t xml:space="preserve">Chilled Chamber (+2 to +8 C)</t>
  </si>
  <si>
    <t xml:space="preserve">SFDA Cold Store Licence</t>
  </si>
  <si>
    <t xml:space="preserve">Frozen Chamber (-18 to -25 C)</t>
  </si>
  <si>
    <t xml:space="preserve">Deep Freeze (below -25 C)</t>
  </si>
  <si>
    <t xml:space="preserve">Customs Bonded Storage</t>
  </si>
  <si>
    <t xml:space="preserve">ZATCA / Customs Bonded Licence</t>
  </si>
  <si>
    <t xml:space="preserve">High Value / Secure Cage</t>
  </si>
  <si>
    <t xml:space="preserve">Municipality / Civil Defense + Security Plan</t>
  </si>
  <si>
    <t xml:space="preserve">Quarantine / Hold / Damaged Goods Area</t>
  </si>
  <si>
    <t xml:space="preserve">As per base cargo class</t>
  </si>
  <si>
    <t xml:space="preserve">Oversize / Out-of-Gauge Floor Space</t>
  </si>
  <si>
    <t xml:space="preserve">Covered Shed / Canopy (Non-AC)</t>
  </si>
  <si>
    <t xml:space="preserve">Open Yard / Uncovered Hardstand</t>
  </si>
  <si>
    <t xml:space="preserve">Municipality</t>
  </si>
  <si>
    <t xml:space="preserve">Mezzanine Level</t>
  </si>
  <si>
    <t xml:space="preserve">STORAGE BILLING RULES</t>
  </si>
  <si>
    <t xml:space="preserve">Billing basis</t>
  </si>
  <si>
    <t xml:space="preserve">Storage is billed on the GREATER of actual floor area occupied (SQM) or allocated pallet positions. The basis must be fixed per client in the contract - not left to the operator to choose at invoice time.</t>
  </si>
  <si>
    <t xml:space="preserve">Standard pallet definition</t>
  </si>
  <si>
    <t xml:space="preserve">1,200 x 1,000 mm footprint, maximum 1,200 mm stack height, maximum gross weight 1,000 kg. Anything exceeding any one of these three limits is charged as two pallet positions.</t>
  </si>
  <si>
    <t xml:space="preserve">Euro pallet</t>
  </si>
  <si>
    <t xml:space="preserve">1,200 x 800 mm. Charged at 0.85 of a standard pallet position where a separate Euro tariff is not agreed.</t>
  </si>
  <si>
    <t xml:space="preserve">Billing cycle</t>
  </si>
  <si>
    <t xml:space="preserve">Two cycles per calendar month: 1st-15th and 16th-month end. A pallet present on any day of a cycle attracts the full cycle charge.</t>
  </si>
  <si>
    <t xml:space="preserve">Free storage period</t>
  </si>
  <si>
    <t xml:space="preserve">Nil by default. Storage accrues from the GRN date inclusive. Any free period must be a written contractual concession.</t>
  </si>
  <si>
    <t xml:space="preserve">Part month</t>
  </si>
  <si>
    <t xml:space="preserve">Charged per cycle as above, not pro-rata per day, unless the daily tariff has been specifically agreed.</t>
  </si>
  <si>
    <t xml:space="preserve">Daily tariff eligibility</t>
  </si>
  <si>
    <t xml:space="preserve">The daily rate applies only where total stay is under 15 days. Beyond 15 days the monthly tariff applies retrospectively from day one.</t>
  </si>
  <si>
    <t xml:space="preserve">Minimum charge</t>
  </si>
  <si>
    <t xml:space="preserve">SAR 2,500 per client per month for ambient classes; SAR 5,000 for SFDA-regulated; SAR 7,500 for DG and cold chain.</t>
  </si>
  <si>
    <t xml:space="preserve">Empty pallet storage</t>
  </si>
  <si>
    <t xml:space="preserve">Charged at 50% of the applicable cargo storage rate.</t>
  </si>
  <si>
    <t xml:space="preserve">Rate review</t>
  </si>
  <si>
    <t xml:space="preserve">Rates are fixed for 12 months from contract start, then subject to the annual escalation clause (ANC-018).</t>
  </si>
  <si>
    <t xml:space="preserve">REVIEW FINDINGS &amp; CORRECTION LOG</t>
  </si>
  <si>
    <t xml:space="preserve">Every change made to your original file, with the reason. Nothing was altered silently.</t>
  </si>
  <si>
    <t xml:space="preserve">#</t>
  </si>
  <si>
    <t xml:space="preserve">Area</t>
  </si>
  <si>
    <t xml:space="preserve">What Your File Said</t>
  </si>
  <si>
    <t xml:space="preserve">What Was Done &amp; Why</t>
  </si>
  <si>
    <t xml:space="preserve">Severity</t>
  </si>
  <si>
    <t xml:space="preserve">Storage - billing basis</t>
  </si>
  <si>
    <t xml:space="preserve">The SQM rate and the pallet rate are identical on every row, under a header reading 'Standard Pallet/month equals to 1 Square meter'.</t>
  </si>
  <si>
    <t xml:space="preserve">Kept your rates but split them into separate ERP lines and added an explicit billing-basis rule. A standard 1.2 x 1.0 m pallet occupies 1.2 SQM of floor, and a racked pallet consumes far less floor per position than a floor-stacked one. Treating the two as equal under-recovers on racked storage and over-recovers on floor storage. Decide the basis per client and fix it in the contract.</t>
  </si>
  <si>
    <t xml:space="preserve">High</t>
  </si>
  <si>
    <t xml:space="preserve">Storage - daily vs monthly</t>
  </si>
  <si>
    <t xml:space="preserve">Daily rates carry no consistent relationship to the monthly rates. General cargo implies a 33% uplift, temperature controlled implies 85%, medical 58%.</t>
  </si>
  <si>
    <t xml:space="preserve">Rates left as you set them, but the Storage Rate Matrix now computes the implied uplift on every row so the inconsistency is visible. Either normalise to a single short-stay uplift or be ready to justify the spread to a customer who compares rows.</t>
  </si>
  <si>
    <t xml:space="preserve">Medium</t>
  </si>
  <si>
    <t xml:space="preserve">Storage - missing daily rates</t>
  </si>
  <si>
    <t xml:space="preserve">Three rows carry the text 'min. per month' in the daily rate column instead of a rate: DG temperature controlled, DG dry, and general chemicals.</t>
  </si>
  <si>
    <t xml:space="preserve">Rates inserted (SAR 9, SAR 5 and SAR 3.5 per pallet per day) using the same short-stay logic as the comparable classes. A text string in a numeric ERP field will fail import, so this had to be resolved either way. Confirm the values.</t>
  </si>
  <si>
    <t xml:space="preserve">Handling - weight bands overlap</t>
  </si>
  <si>
    <t xml:space="preserve">Piece handling bands read 'up to 15 kgs', 'up to 40 kgs', 'up to 60 kgs'.</t>
  </si>
  <si>
    <t xml:space="preserve">Re-cut as mutually exclusive ranges (up to 15 / 15.1-40 / 40.1-60). As written, a 30 kg piece satisfies two bands and the ERP cannot resolve which rate to apply. Added bands for 60.1-100 kg and over 100 kg, which your card had no rate for at all.</t>
  </si>
  <si>
    <t xml:space="preserve">Order processing</t>
  </si>
  <si>
    <t xml:space="preserve">'Order processing charges charges (Mendatory) SAR 25/Order'.</t>
  </si>
  <si>
    <t xml:space="preserve">Typos corrected and the unit defined: one order equals one outbound release or delivery note regardless of line count. Added a separate per-line charge (HOT-002), because a flat per-order fee under-recovers badly on multi-SKU picks.</t>
  </si>
  <si>
    <t xml:space="preserve">Low</t>
  </si>
  <si>
    <t xml:space="preserve">Handling - truck tier error</t>
  </si>
  <si>
    <t xml:space="preserve">'Manual loading 4toner (Dyna) SAR 500/5Toner'. The description says 4 ton, the unit says 5 ton, and the matching offloading line is 5 ton.</t>
  </si>
  <si>
    <t xml:space="preserve">Corrected to 5 Ton throughout. There is no 4-ton tier anywhere else in the card, so this was a transcription error.</t>
  </si>
  <si>
    <t xml:space="preserve">Manpower - no standard supervisor rate</t>
  </si>
  <si>
    <t xml:space="preserve">Supervisor appears only under 'Overtime charges' at SAR 150/hour and SAR 750/day. There is no normal-hours supervisor rate anywhere.</t>
  </si>
  <si>
    <t xml:space="preserve">Created a standard supervisor tier (SAR 100/hour, SAR 700/day) and kept your SAR 150 as the overtime rate, which now sits correctly at 1.5x standard. Without a base rate you cannot bill a supervisor on a normal working day.</t>
  </si>
  <si>
    <t xml:space="preserve">Manpower - overtime at standard rate</t>
  </si>
  <si>
    <t xml:space="preserve">'Overtime charges: Labor per hour SAR 50, Labor per day SAR 350' - identical to the standard labour rates listed directly above.</t>
  </si>
  <si>
    <t xml:space="preserve">Overtime labour raised to SAR 75/hour. Saudi Labour Law Article 107 requires overtime at 150% of the basic wage, so billing overtime at the standard rate means paying the premium out of your own margin on every overtime hour worked.</t>
  </si>
  <si>
    <t xml:space="preserve">Manpower - holiday rate inversion</t>
  </si>
  <si>
    <t xml:space="preserve">'Local Holidays overtime charges: Labor per hour SAR 750, Labor per day SAR 450.' The hourly rate is higher than the full-day rate.</t>
  </si>
  <si>
    <t xml:space="preserve">Rebuilt the holiday tier on a consistent basis where the day rate equals seven times the hourly rate (SAR 100/hour, SAR 700/day). As written, a customer booking 8 hours would be quoted SAR 6,000 against a SAR 450 day rate. This is the single most commercially dangerous line in the file.</t>
  </si>
  <si>
    <t xml:space="preserve">Critical</t>
  </si>
  <si>
    <t xml:space="preserve">Manpower - Eid rate inconsistency</t>
  </si>
  <si>
    <t xml:space="preserve">'Eid/Government holidays: Labor per hour SAR 200, Labor per day SAR 700.' Eight hours at SAR 200 is SAR 1,600 against a SAR 700 day rate. Supervisor shows the same problem: SAR 350/hour against SAR 1,500/day.</t>
  </si>
  <si>
    <t xml:space="preserve">Rebuilt on the same seven-times-hourly basis used throughout. Labour SAR 150/hour and SAR 1,050/day; supervisor SAR 250/hour and SAR 1,750/day. Your supervisor day rate moved from SAR 1,500 to SAR 1,750 - confirm if you want to hold 1,500 instead.</t>
  </si>
  <si>
    <t xml:space="preserve">Inventory - undefined line</t>
  </si>
  <si>
    <t xml:space="preserve">'Stock cycle SAR 5/Pallet' with no unit, frequency or description.</t>
  </si>
  <si>
    <t xml:space="preserve">Restated as a per-occurrence cycle count (INV-002) and separated from the recurring monthly inventory management charge (INV-001), which was the only other inventory line. Added full physical stock take, reconciliation reporting and SKU setup, none of which existed.</t>
  </si>
  <si>
    <t xml:space="preserve">Insurance - not a chargeable basis</t>
  </si>
  <si>
    <t xml:space="preserve">'Insurance charges: 1% of cargo insurance.'</t>
  </si>
  <si>
    <t xml:space="preserve">Restated as 1% per annum of declared cargo value with a SAR 1,500 minimum premium. As written the line is circular - 1% of the insurance is not a calculable figure. Also added a liability cap line (INS-004), which matters more than the premium itself: without a stated cap your exposure on a damaged high-value pallet is unlimited.</t>
  </si>
  <si>
    <t xml:space="preserve">Equipment - mob/demob never priced</t>
  </si>
  <si>
    <t xml:space="preserve">Sixteen forklift lines carry the remark 'excluding Mob/demob', but no mobilisation charge exists anywhere in the file.</t>
  </si>
  <si>
    <t xml:space="preserve">Created EQP-020 at SAR 750 per movement within Riyadh. An exclusion that is never converted into a charge line is revenue you have explicitly told the customer you will not bill.</t>
  </si>
  <si>
    <t xml:space="preserve">Manpower - food/accommodation never priced</t>
  </si>
  <si>
    <t xml:space="preserve">Twenty-two lines carry 'excluding food, accomodation and transport'. No recovery line exists.</t>
  </si>
  <si>
    <t xml:space="preserve">Created MAN-029 at SAR 150 per man per day. Same issue as above.</t>
  </si>
  <si>
    <t xml:space="preserve">Cross dock vs cross stuffing</t>
  </si>
  <si>
    <t xml:space="preserve">Both service sets are priced but neither is defined, and cross docking is priced above cross stuffing with no stated reason.</t>
  </si>
  <si>
    <t xml:space="preserve">Definitions added to the remarks. Cross stuffing is a direct vehicle-to-vehicle transfer with both vehicles present. Cross docking involves receipt, staging and sorting, so it consumes dock and floor space and is correctly the more expensive of the two. Added a loose-cargo surcharge, since your card covered palletised cargo only.</t>
  </si>
  <si>
    <t xml:space="preserve">Cold chain entirely absent</t>
  </si>
  <si>
    <t xml:space="preserve">No chilled (+2 to +8 C) or frozen (-18 to -25 C) storage anywhere in the file.</t>
  </si>
  <si>
    <t xml:space="preserve">Added chilled, frozen and deep freeze classes plus reefer plug-in, cold chain arrival verification, temperature loggers and thermal covers. For a 3PL in Saudi Arabia this is the largest single gap in the card - pharma and food clients will not shortlist a provider without a published cold chain tariff.</t>
  </si>
  <si>
    <t xml:space="preserve">Pick, pack and e-commerce absent</t>
  </si>
  <si>
    <t xml:space="preserve">No pick tiers, no pack charge, no per-parcel rate.</t>
  </si>
  <si>
    <t xml:space="preserve">Added full pallet, case and piece pick tiers, e-commerce pack and dispatch, FEFO batch picking and outbound QC. Without these you cannot quote any retail or e-commerce contract.</t>
  </si>
  <si>
    <t xml:space="preserve">Returns and reverse logistics absent</t>
  </si>
  <si>
    <t xml:space="preserve">Nothing in the file addresses returns, disposal or destruction.</t>
  </si>
  <si>
    <t xml:space="preserve">Added a full reverse logistics head including return receipt, inspection and disposition, refurbishment, restocking, destruction certificates and DG waste disposal. Certificates of destruction are a regulatory requirement for SFDA product write-off, not an optional service.</t>
  </si>
  <si>
    <t xml:space="preserve">Labelling and Arabic compliance absent</t>
  </si>
  <si>
    <t xml:space="preserve">No labelling, barcoding or Arabic sticker service.</t>
  </si>
  <si>
    <t xml:space="preserve">Added a full labelling sub head. Arabic compliance labelling (VAS-009) is one of the highest-demand and highest-margin VAS lines in the Saudi market, since imported packaging routinely arrives without compliant Arabic text.</t>
  </si>
  <si>
    <t xml:space="preserve">Customs, bond and regulatory absent</t>
  </si>
  <si>
    <t xml:space="preserve">Licence requirements are listed against storage classes, but no charge exists for obtaining, maintaining or supporting any of them.</t>
  </si>
  <si>
    <t xml:space="preserve">Added a compliance head covering SFDA facility listing and inspection support, DG classification and MSDS filing, bonded entry and exit, Fasah documentation, SASO/SABER support and duty disbursement handling.</t>
  </si>
  <si>
    <t xml:space="preserve">Onboarding and IT absent</t>
  </si>
  <si>
    <t xml:space="preserve">No implementation fee, WMS licence, integration charge or exit fee.</t>
  </si>
  <si>
    <t xml:space="preserve">Added an IT and onboarding head. The implementation fee and the exit transition fee both matter commercially - the first recovers real setup cost, the second protects you when a client leaves and expects free hand-over.</t>
  </si>
  <si>
    <t xml:space="preserve">Penalty and surcharge lines absent</t>
  </si>
  <si>
    <t xml:space="preserve">No waiting time, no no-show, no after-hours access, no minimum invoice, no late payment charge.</t>
  </si>
  <si>
    <t xml:space="preserve">Added an ancillary head covering all of these plus free-time definitions on every handling line. Free time that is not defined is unlimited free time.</t>
  </si>
  <si>
    <t xml:space="preserve">Transport absent</t>
  </si>
  <si>
    <t xml:space="preserve">No delivery, line haul or container haulage rates.</t>
  </si>
  <si>
    <t xml:space="preserve">Added a transport head with local Riyadh tiers and placeholders for lane-based intercity and port haulage rates, which should be built as an origin-destination table in the ERP rather than as flat lines.</t>
  </si>
  <si>
    <t xml:space="preserve">No commercial terms</t>
  </si>
  <si>
    <t xml:space="preserve">The file contains rates only - no VAT treatment, validity, payment terms, working hours or liability position.</t>
  </si>
  <si>
    <t xml:space="preserve">Added a Commercial Terms sheet. Working hours in particular had to be defined before any overtime or holiday rate in the card could be applied, since nothing stated when a normal shift ends.</t>
  </si>
  <si>
    <t xml:space="preserve">No charge codes or cost head structure</t>
  </si>
  <si>
    <t xml:space="preserve">A single flat sheet of 104 rows with no codes, no grouping and no unit of measure column.</t>
  </si>
  <si>
    <t xml:space="preserve">Restructured into 16 cost heads with unique charge codes, explicit UOM, minimum charge, billing frequency and VAT flag on every line. This is the structure an ERP quotation module needs in order to import the master.</t>
  </si>
  <si>
    <t xml:space="preserve">COMMERCIAL TERMS &amp; CONDITIONS OF QUOTATION</t>
  </si>
  <si>
    <t xml:space="preserve">  A.  PRICING &amp; TAX</t>
  </si>
  <si>
    <t xml:space="preserve">All rates are quoted in Saudi Riyal (SAR).</t>
  </si>
  <si>
    <t xml:space="preserve">VAT</t>
  </si>
  <si>
    <t xml:space="preserve">All rates are exclusive of VAT. VAT is applied at the prevailing ZATCA rate, currently 15%, on all taxable supplies. Insurance premiums and late payment charges are handled separately per their own tax treatment.</t>
  </si>
  <si>
    <t xml:space="preserve">E-Invoicing</t>
  </si>
  <si>
    <t xml:space="preserve">All invoices are issued as ZATCA-compliant electronic invoices (Fatoora) with QR code and required Arabic fields.</t>
  </si>
  <si>
    <t xml:space="preserve">Validity</t>
  </si>
  <si>
    <t xml:space="preserve">This quotation is valid for 30 days from the date of issue. Rates are firm for 12 months from contract commencement.</t>
  </si>
  <si>
    <t xml:space="preserve">Escalation</t>
  </si>
  <si>
    <t xml:space="preserve">Rates are subject to an annual escalation of up to 5% at each contract anniversary, or the published CPI, whichever is lower.</t>
  </si>
  <si>
    <t xml:space="preserve">Exclusions</t>
  </si>
  <si>
    <t xml:space="preserve">Unless expressly listed as a charge line, the following are excluded: customs duty and government fees, third-party laboratory testing, shipping line demurrage and detention, product liability, and any service not described in this schedule.</t>
  </si>
  <si>
    <t xml:space="preserve">  B.  OPERATING HOURS</t>
  </si>
  <si>
    <t xml:space="preserve">Standard hours</t>
  </si>
  <si>
    <t xml:space="preserve">08:00 to 17:00, Sunday to Thursday. One 8-hour shift including a one-hour break.</t>
  </si>
  <si>
    <t xml:space="preserve">Friday and Saturday. Facility closed unless prior arrangement is made; weekend opening charges apply.</t>
  </si>
  <si>
    <t xml:space="preserve">Overtime trigger</t>
  </si>
  <si>
    <t xml:space="preserve">Any labour performed beyond the 8-hour standard shift on a working day is charged at the overtime rate, in line with Saudi Labour Law Article 107.</t>
  </si>
  <si>
    <t xml:space="preserve">Public holidays</t>
  </si>
  <si>
    <t xml:space="preserve">Eid Al Fitr, Eid Al Adha, Saudi National Day, Founding Day and any other day declared by the authorities. Holiday tariffs apply.</t>
  </si>
  <si>
    <t xml:space="preserve">Dock appointments</t>
  </si>
  <si>
    <t xml:space="preserve">All inbound and outbound vehicles require a confirmed dock slot booked at least 24 hours in advance. Unbooked arrivals are subject to surcharge and to availability.</t>
  </si>
  <si>
    <t xml:space="preserve">  C.  MEASUREMENT &amp; BILLING</t>
  </si>
  <si>
    <t xml:space="preserve">Chargeable weight</t>
  </si>
  <si>
    <t xml:space="preserve">Where a rate is weight-based, the greater of actual gross weight or volumetric weight applies. Volumetric conversion: 1 CBM = 167 kg.</t>
  </si>
  <si>
    <t xml:space="preserve">Rounding</t>
  </si>
  <si>
    <t xml:space="preserve">CBM is rounded up to two decimal places. Weight is rounded up to the next whole kilogram. Pallet positions are rounded up to the next whole position.</t>
  </si>
  <si>
    <t xml:space="preserve">Standard pallet</t>
  </si>
  <si>
    <t xml:space="preserve">1,200 x 1,000 mm footprint, maximum 1,200 mm stack height, maximum 1,000 kg gross. Exceeding any one limit counts as two pallet positions.</t>
  </si>
  <si>
    <t xml:space="preserve">Free time</t>
  </si>
  <si>
    <t xml:space="preserve">Free time allowances are stated per handling line. Time is counted from vehicle arrival at the gate to release, excluding delays caused by the warehouse.</t>
  </si>
  <si>
    <t xml:space="preserve">Invoicing</t>
  </si>
  <si>
    <t xml:space="preserve">Storage is invoiced per cycle in advance. Handling and value added services are invoiced in arrears against signed job tickets.</t>
  </si>
  <si>
    <t xml:space="preserve">Payment</t>
  </si>
  <si>
    <t xml:space="preserve">30 days net from invoice date, subject to credit approval. New accounts operate on advance payment until credit terms are established.</t>
  </si>
  <si>
    <t xml:space="preserve">Late payment</t>
  </si>
  <si>
    <t xml:space="preserve">1.5% per month on balances outstanding beyond agreed terms.</t>
  </si>
  <si>
    <t xml:space="preserve">Minimum invoice</t>
  </si>
  <si>
    <t xml:space="preserve">A minimum monthly invoice value of SAR 5,000 per account applies.</t>
  </si>
  <si>
    <t xml:space="preserve">  D.  CARGO ACCEPTANCE</t>
  </si>
  <si>
    <t xml:space="preserve">Declaration</t>
  </si>
  <si>
    <t xml:space="preserve">The client must declare cargo description, HS code, gross weight, dimensions, temperature requirement, hazard classification and declared value in writing before booking.</t>
  </si>
  <si>
    <t xml:space="preserve">Dangerous goods</t>
  </si>
  <si>
    <t xml:space="preserve">DG cargo is accepted only against a valid MSDS and UN classification, and only into MOI-approved DG areas. Classes 1 (explosives), 6.2 (infectious substances) and 7 (radioactive) are not accepted.</t>
  </si>
  <si>
    <t xml:space="preserve">Regulated cargo</t>
  </si>
  <si>
    <t xml:space="preserve">Food, pharmaceutical, medical device, cosmetic and animal feed cargo is accepted only where the client holds valid SFDA registration for the product and the facility is licensed for that category.</t>
  </si>
  <si>
    <t xml:space="preserve">Right of refusal</t>
  </si>
  <si>
    <t xml:space="preserve">The warehouse reserves the right to refuse or quarantine any cargo that is mis-declared, leaking, infested, damaged on arrival, or outside the facility's licensed scope.</t>
  </si>
  <si>
    <t xml:space="preserve">Temperature excursion</t>
  </si>
  <si>
    <t xml:space="preserve">Cold chain cargo arriving outside its specified range is received under protest into quarantine and is not accepted into sellable stock without written client instruction.</t>
  </si>
  <si>
    <t xml:space="preserve">  E.  LIABILITY &amp; INSURANCE</t>
  </si>
  <si>
    <t xml:space="preserve">Basis of liability</t>
  </si>
  <si>
    <t xml:space="preserve">Cargo is stored and handled subject to the company's Standard Trading Conditions. Liability attaches only to loss or damage caused by proven negligence of the company or its employees.</t>
  </si>
  <si>
    <t xml:space="preserve">Limitation</t>
  </si>
  <si>
    <t xml:space="preserve">Liability is limited to SAR 100 per kilogram of the affected cargo, or SAR 50,000 per event, whichever is the lower, unless separate cargo insurance has been purchased through the company.</t>
  </si>
  <si>
    <t xml:space="preserve">Exclusions from liability</t>
  </si>
  <si>
    <t xml:space="preserve">Inherent vice, latent defect, insufficient or unsuitable packing by the client, ordinary wear, pilferage from sealed units, consequential loss, loss of profit, and force majeure.</t>
  </si>
  <si>
    <t xml:space="preserve">Client insurance</t>
  </si>
  <si>
    <t xml:space="preserve">Where the client declines cargo insurance, a signed waiver is required and cargo is stored entirely at owner's risk.</t>
  </si>
  <si>
    <t xml:space="preserve">Claims</t>
  </si>
  <si>
    <t xml:space="preserve">Claims must be notified in writing within 7 days of the event and formally submitted within 30 days. Claims outside these windows are time-barred.</t>
  </si>
  <si>
    <t xml:space="preserve">Lien</t>
  </si>
  <si>
    <t xml:space="preserve">The company holds a general lien over all cargo in its possession for all sums due, and may sell or dispose of cargo after 90 days' written notice of unpaid balances.</t>
  </si>
  <si>
    <t xml:space="preserve">  F.  TERM &amp; TERMINATION</t>
  </si>
  <si>
    <t xml:space="preserve">Minimum term</t>
  </si>
  <si>
    <t xml:space="preserve">12 months from commencement unless otherwise agreed in writing.</t>
  </si>
  <si>
    <t xml:space="preserve">Notice</t>
  </si>
  <si>
    <t xml:space="preserve">90 days written notice by either party.</t>
  </si>
  <si>
    <t xml:space="preserve">Exit</t>
  </si>
  <si>
    <t xml:space="preserve">On termination, all outstanding balances fall due immediately. Stock is released only against cleared payment. Exit transition charges (ITS-007) apply.</t>
  </si>
  <si>
    <t xml:space="preserve">Dedicated space</t>
  </si>
  <si>
    <t xml:space="preserve">Where dedicated space has been allocated, it is billed in full for the notice period whether occupied or not.</t>
  </si>
  <si>
    <t xml:space="preserve">Governing law</t>
  </si>
  <si>
    <t xml:space="preserve">This agreement is governed by the laws of the Kingdom of Saudi Arabia. Disputes are referred to the competent courts of Riyadh.</t>
  </si>
</sst>
</file>

<file path=xl/styles.xml><?xml version="1.0" encoding="utf-8"?>
<styleSheet xmlns="http://schemas.openxmlformats.org/spreadsheetml/2006/main">
  <numFmts count="4">
    <numFmt numFmtId="164" formatCode="General"/>
    <numFmt numFmtId="165" formatCode="0.0%"/>
    <numFmt numFmtId="166" formatCode="General"/>
    <numFmt numFmtId="167" formatCode="#,##0.00;\(#,##0.00\);\-"/>
  </numFmts>
  <fonts count="22">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595959"/>
      <name val="Arial"/>
      <family val="0"/>
      <charset val="1"/>
    </font>
    <font>
      <b val="true"/>
      <sz val="12"/>
      <color rgb="FF1F3864"/>
      <name val="Arial"/>
      <family val="0"/>
      <charset val="1"/>
    </font>
    <font>
      <b val="true"/>
      <sz val="9"/>
      <name val="Arial"/>
      <family val="0"/>
      <charset val="1"/>
    </font>
    <font>
      <sz val="9"/>
      <name val="Arial"/>
      <family val="0"/>
      <charset val="1"/>
    </font>
    <font>
      <b val="true"/>
      <sz val="9"/>
      <color rgb="FF0000FF"/>
      <name val="Arial"/>
      <family val="0"/>
      <charset val="1"/>
    </font>
    <font>
      <b val="true"/>
      <sz val="9"/>
      <color rgb="FFFFFFFF"/>
      <name val="Arial"/>
      <family val="0"/>
      <charset val="1"/>
    </font>
    <font>
      <b val="true"/>
      <sz val="9"/>
      <color rgb="FF9C0006"/>
      <name val="Arial"/>
      <family val="0"/>
      <charset val="1"/>
    </font>
    <font>
      <i val="true"/>
      <sz val="8"/>
      <color rgb="FF595959"/>
      <name val="Arial"/>
      <family val="0"/>
      <charset val="1"/>
    </font>
    <font>
      <b val="true"/>
      <sz val="8"/>
      <color rgb="FF1F3864"/>
      <name val="Arial"/>
      <family val="0"/>
      <charset val="1"/>
    </font>
    <font>
      <b val="true"/>
      <sz val="10"/>
      <color rgb="FF1F3864"/>
      <name val="Arial"/>
      <family val="0"/>
      <charset val="1"/>
    </font>
    <font>
      <b val="true"/>
      <sz val="9"/>
      <color rgb="FF000000"/>
      <name val="Arial"/>
      <family val="0"/>
      <charset val="1"/>
    </font>
    <font>
      <sz val="8"/>
      <name val="Arial"/>
      <family val="0"/>
      <charset val="1"/>
    </font>
    <font>
      <i val="true"/>
      <sz val="8"/>
      <name val="Arial"/>
      <family val="0"/>
      <charset val="1"/>
    </font>
    <font>
      <b val="true"/>
      <sz val="9"/>
      <color rgb="FF833C00"/>
      <name val="Arial"/>
      <family val="0"/>
      <charset val="1"/>
    </font>
    <font>
      <b val="true"/>
      <sz val="9"/>
      <color rgb="FF7F6000"/>
      <name val="Arial"/>
      <family val="0"/>
      <charset val="1"/>
    </font>
    <font>
      <b val="true"/>
      <sz val="9"/>
      <color rgb="FF375623"/>
      <name val="Arial"/>
      <family val="0"/>
      <charset val="1"/>
    </font>
    <font>
      <b val="true"/>
      <sz val="11"/>
      <color rgb="FFFFFFFF"/>
      <name val="Arial"/>
      <family val="0"/>
      <charset val="1"/>
    </font>
  </fonts>
  <fills count="10">
    <fill>
      <patternFill patternType="none"/>
    </fill>
    <fill>
      <patternFill patternType="gray125"/>
    </fill>
    <fill>
      <patternFill patternType="solid">
        <fgColor rgb="FF1F3864"/>
        <bgColor rgb="FF2E5C8A"/>
      </patternFill>
    </fill>
    <fill>
      <patternFill patternType="solid">
        <fgColor rgb="FFD9E2F3"/>
        <bgColor rgb="FFDDEBF7"/>
      </patternFill>
    </fill>
    <fill>
      <patternFill patternType="solid">
        <fgColor rgb="FFFFF2CC"/>
        <bgColor rgb="FFFCE4D6"/>
      </patternFill>
    </fill>
    <fill>
      <patternFill patternType="solid">
        <fgColor rgb="FF2E5C8A"/>
        <bgColor rgb="FF595959"/>
      </patternFill>
    </fill>
    <fill>
      <patternFill patternType="solid">
        <fgColor rgb="FFE2EFDA"/>
        <bgColor rgb="FFDDEBF7"/>
      </patternFill>
    </fill>
    <fill>
      <patternFill patternType="solid">
        <fgColor rgb="FFFCE4D6"/>
        <bgColor rgb="FFFFF2CC"/>
      </patternFill>
    </fill>
    <fill>
      <patternFill patternType="solid">
        <fgColor rgb="FFDDEBF7"/>
        <bgColor rgb="FFD9E2F3"/>
      </patternFill>
    </fill>
    <fill>
      <patternFill patternType="solid">
        <fgColor rgb="FFFFC7CE"/>
        <bgColor rgb="FFFCE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5" fontId="9" fillId="4" borderId="1" xfId="0" applyFont="true" applyBorder="true" applyAlignment="true" applyProtection="false">
      <alignment horizontal="left"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7" fillId="7" borderId="1" xfId="0" applyFont="true" applyBorder="true" applyAlignment="true" applyProtection="false">
      <alignment horizontal="left" vertical="top" textRotation="0" wrapText="true" indent="0" shrinkToFit="false"/>
      <protection locked="true" hidden="false"/>
    </xf>
    <xf numFmtId="164" fontId="7" fillId="8"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6" fontId="8" fillId="0" borderId="1" xfId="0" applyFont="true" applyBorder="true" applyAlignment="true" applyProtection="false">
      <alignment horizontal="center" vertical="center" textRotation="0" wrapText="true" indent="0" shrinkToFit="false"/>
      <protection locked="true" hidden="false"/>
    </xf>
    <xf numFmtId="164" fontId="11" fillId="9" borderId="1" xfId="0" applyFont="true" applyBorder="true" applyAlignment="true" applyProtection="false">
      <alignment horizontal="left" vertical="top" textRotation="0" wrapText="true" indent="0" shrinkToFit="false"/>
      <protection locked="true" hidden="false"/>
    </xf>
    <xf numFmtId="164" fontId="12" fillId="0" borderId="0" xfId="0" applyFont="true" applyBorder="true" applyAlignment="true" applyProtection="false">
      <alignment horizontal="left" vertical="top" textRotation="0" wrapText="true" indent="0" shrinkToFit="false"/>
      <protection locked="true" hidden="false"/>
    </xf>
    <xf numFmtId="164" fontId="13" fillId="4" borderId="0"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14" fillId="3" borderId="1" xfId="0" applyFont="true" applyBorder="true" applyAlignment="true" applyProtection="false">
      <alignment horizontal="left" vertical="top" textRotation="0" wrapText="true" indent="0" shrinkToFit="false"/>
      <protection locked="true" hidden="false"/>
    </xf>
    <xf numFmtId="167" fontId="15" fillId="0" borderId="1" xfId="0" applyFont="true" applyBorder="true" applyAlignment="true" applyProtection="false">
      <alignment horizontal="right" vertical="center" textRotation="0" wrapText="false" indent="0" shrinkToFit="false"/>
      <protection locked="true" hidden="false"/>
    </xf>
    <xf numFmtId="167" fontId="8" fillId="0" borderId="1" xfId="0" applyFont="true" applyBorder="true" applyAlignment="true" applyProtection="false">
      <alignment horizontal="right" vertical="center" textRotation="0" wrapText="fals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7" fontId="9" fillId="0" borderId="1" xfId="0" applyFont="true" applyBorder="true" applyAlignment="true" applyProtection="false">
      <alignment horizontal="right" vertical="center" textRotation="0" wrapText="false" indent="0" shrinkToFit="false"/>
      <protection locked="true" hidden="false"/>
    </xf>
    <xf numFmtId="164" fontId="7" fillId="8" borderId="1" xfId="0" applyFont="true" applyBorder="true" applyAlignment="true" applyProtection="false">
      <alignment horizontal="center" vertical="center" textRotation="0" wrapText="true" indent="0" shrinkToFit="false"/>
      <protection locked="true" hidden="false"/>
    </xf>
    <xf numFmtId="165" fontId="9" fillId="0" borderId="1" xfId="0" applyFont="true" applyBorder="true" applyAlignment="true" applyProtection="false">
      <alignment horizontal="right" vertical="center" textRotation="0" wrapText="false" indent="0" shrinkToFit="false"/>
      <protection locked="true" hidden="false"/>
    </xf>
    <xf numFmtId="165" fontId="15" fillId="0" borderId="1" xfId="0" applyFont="true" applyBorder="true" applyAlignment="true" applyProtection="false">
      <alignment horizontal="right"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right" vertical="center"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left" vertical="top" textRotation="0" wrapText="true" indent="0" shrinkToFit="false"/>
      <protection locked="true" hidden="false"/>
    </xf>
    <xf numFmtId="164" fontId="18" fillId="7" borderId="1" xfId="0" applyFont="true" applyBorder="true" applyAlignment="true" applyProtection="false">
      <alignment horizontal="center" vertical="center" textRotation="0" wrapText="true" indent="0" shrinkToFit="false"/>
      <protection locked="true" hidden="false"/>
    </xf>
    <xf numFmtId="164" fontId="19" fillId="4" borderId="1" xfId="0" applyFont="true" applyBorder="true" applyAlignment="true" applyProtection="false">
      <alignment horizontal="center" vertical="center" textRotation="0" wrapText="true" indent="0" shrinkToFit="false"/>
      <protection locked="true" hidden="false"/>
    </xf>
    <xf numFmtId="164" fontId="20" fillId="6" borderId="1" xfId="0" applyFont="true" applyBorder="true" applyAlignment="true" applyProtection="false">
      <alignment horizontal="center" vertical="center" textRotation="0" wrapText="true" indent="0" shrinkToFit="false"/>
      <protection locked="true" hidden="false"/>
    </xf>
    <xf numFmtId="164" fontId="11" fillId="9" borderId="1" xfId="0" applyFont="true" applyBorder="true" applyAlignment="true" applyProtection="false">
      <alignment horizontal="center" vertical="center" textRotation="0" wrapText="true" indent="0" shrinkToFit="false"/>
      <protection locked="true" hidden="false"/>
    </xf>
    <xf numFmtId="164" fontId="21" fillId="5" borderId="0" xfId="0" applyFont="true" applyBorder="true" applyAlignment="true" applyProtection="false">
      <alignment horizontal="left" vertical="center"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2E5C8A"/>
          <bgColor rgb="FF000000"/>
        </patternFill>
      </fill>
    </dxf>
    <dxf>
      <fill>
        <patternFill patternType="solid">
          <bgColor rgb="FF000000"/>
        </patternFill>
      </fill>
    </dxf>
    <dxf>
      <fill>
        <patternFill patternType="solid">
          <fgColor rgb="FFFFFFFF"/>
          <bgColor rgb="FF000000"/>
        </patternFill>
      </fill>
    </dxf>
    <dxf>
      <fill>
        <patternFill patternType="solid">
          <fgColor rgb="FFD9E2F3"/>
          <bgColor rgb="FF000000"/>
        </patternFill>
      </fill>
    </dxf>
    <dxf>
      <fill>
        <patternFill patternType="solid">
          <fgColor rgb="FF1F3864"/>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FCE4D6"/>
          <bgColor rgb="FF000000"/>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7F6000"/>
      <rgbColor rgb="FF800080"/>
      <rgbColor rgb="FF008080"/>
      <rgbColor rgb="FFBFBFBF"/>
      <rgbColor rgb="FF808080"/>
      <rgbColor rgb="FF9999FF"/>
      <rgbColor rgb="FF993366"/>
      <rgbColor rgb="FFFFF2CC"/>
      <rgbColor rgb="FFDDEBF7"/>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CE4D6"/>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833C00"/>
      <rgbColor rgb="FF993366"/>
      <rgbColor rgb="FF2E5C8A"/>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20"/>
    <col collapsed="false" customWidth="true" hidden="false" outlineLevel="0" max="6" min="4" style="0" width="22"/>
    <col collapsed="false" customWidth="true" hidden="false" outlineLevel="0" max="8" min="7" style="0" width="24"/>
  </cols>
  <sheetData>
    <row r="2" customFormat="false" ht="15" hidden="false" customHeight="false" outlineLevel="0" collapsed="false">
      <c r="B2" s="1" t="s">
        <v>0</v>
      </c>
      <c r="C2" s="1"/>
      <c r="D2" s="1"/>
      <c r="E2" s="1"/>
      <c r="F2" s="1"/>
      <c r="G2" s="1"/>
      <c r="H2" s="1"/>
    </row>
    <row r="3" customFormat="false" ht="15" hidden="false" customHeight="false" outlineLevel="0" collapsed="false">
      <c r="B3" s="1"/>
      <c r="C3" s="1"/>
      <c r="D3" s="1"/>
      <c r="E3" s="1"/>
      <c r="F3" s="1"/>
      <c r="G3" s="1"/>
      <c r="H3" s="1"/>
    </row>
    <row r="4" customFormat="false" ht="15" hidden="false" customHeight="false" outlineLevel="0" collapsed="false">
      <c r="B4" s="1"/>
      <c r="C4" s="1"/>
      <c r="D4" s="1"/>
      <c r="E4" s="1"/>
      <c r="F4" s="1"/>
      <c r="G4" s="1"/>
      <c r="H4" s="1"/>
    </row>
    <row r="5" customFormat="false" ht="15" hidden="false" customHeight="false" outlineLevel="0" collapsed="false">
      <c r="B5" s="2" t="s">
        <v>1</v>
      </c>
      <c r="C5" s="2"/>
      <c r="D5" s="2"/>
      <c r="E5" s="2"/>
      <c r="F5" s="2"/>
      <c r="G5" s="2"/>
      <c r="H5" s="2"/>
    </row>
    <row r="7" customFormat="false" ht="15" hidden="false" customHeight="false" outlineLevel="0" collapsed="false">
      <c r="B7" s="3" t="s">
        <v>2</v>
      </c>
    </row>
    <row r="8" customFormat="false" ht="15" hidden="false" customHeight="true" outlineLevel="0" collapsed="false">
      <c r="B8" s="4" t="s">
        <v>3</v>
      </c>
      <c r="C8" s="5" t="s">
        <v>4</v>
      </c>
      <c r="D8" s="5"/>
      <c r="E8" s="5"/>
      <c r="F8" s="5"/>
      <c r="G8" s="5"/>
      <c r="H8" s="5"/>
    </row>
    <row r="9" customFormat="false" ht="15" hidden="false" customHeight="true" outlineLevel="0" collapsed="false">
      <c r="B9" s="4" t="s">
        <v>5</v>
      </c>
      <c r="C9" s="5" t="s">
        <v>6</v>
      </c>
      <c r="D9" s="5"/>
      <c r="E9" s="5"/>
      <c r="F9" s="5"/>
      <c r="G9" s="5"/>
      <c r="H9" s="5"/>
    </row>
    <row r="10" customFormat="false" ht="15" hidden="false" customHeight="true" outlineLevel="0" collapsed="false">
      <c r="B10" s="4" t="s">
        <v>7</v>
      </c>
      <c r="C10" s="5" t="s">
        <v>8</v>
      </c>
      <c r="D10" s="5"/>
      <c r="E10" s="5"/>
      <c r="F10" s="5"/>
      <c r="G10" s="5"/>
      <c r="H10" s="5"/>
    </row>
    <row r="11" customFormat="false" ht="15" hidden="false" customHeight="true" outlineLevel="0" collapsed="false">
      <c r="B11" s="4" t="s">
        <v>9</v>
      </c>
      <c r="C11" s="5" t="s">
        <v>10</v>
      </c>
      <c r="D11" s="5"/>
      <c r="E11" s="5"/>
      <c r="F11" s="5"/>
      <c r="G11" s="5"/>
      <c r="H11" s="5"/>
    </row>
    <row r="12" customFormat="false" ht="15" hidden="false" customHeight="false" outlineLevel="0" collapsed="false">
      <c r="B12" s="4" t="s">
        <v>11</v>
      </c>
      <c r="C12" s="6" t="n">
        <v>0.15</v>
      </c>
      <c r="D12" s="6"/>
      <c r="E12" s="6"/>
      <c r="F12" s="6"/>
      <c r="G12" s="6"/>
      <c r="H12" s="6"/>
    </row>
    <row r="13" customFormat="false" ht="15" hidden="false" customHeight="true" outlineLevel="0" collapsed="false">
      <c r="B13" s="4" t="s">
        <v>12</v>
      </c>
      <c r="C13" s="5" t="s">
        <v>13</v>
      </c>
      <c r="D13" s="5"/>
      <c r="E13" s="5"/>
      <c r="F13" s="5"/>
      <c r="G13" s="5"/>
      <c r="H13" s="5"/>
    </row>
    <row r="14" customFormat="false" ht="15" hidden="false" customHeight="true" outlineLevel="0" collapsed="false">
      <c r="B14" s="4" t="s">
        <v>14</v>
      </c>
      <c r="C14" s="5" t="s">
        <v>15</v>
      </c>
      <c r="D14" s="5"/>
      <c r="E14" s="5"/>
      <c r="F14" s="5"/>
      <c r="G14" s="5"/>
      <c r="H14" s="5"/>
    </row>
    <row r="15" customFormat="false" ht="15" hidden="false" customHeight="true" outlineLevel="0" collapsed="false">
      <c r="B15" s="4" t="s">
        <v>16</v>
      </c>
      <c r="C15" s="5" t="s">
        <v>17</v>
      </c>
      <c r="D15" s="5"/>
      <c r="E15" s="5"/>
      <c r="F15" s="5"/>
      <c r="G15" s="5"/>
      <c r="H15" s="5"/>
    </row>
    <row r="16" customFormat="false" ht="15" hidden="false" customHeight="true" outlineLevel="0" collapsed="false">
      <c r="B16" s="4" t="s">
        <v>18</v>
      </c>
      <c r="C16" s="5" t="s">
        <v>19</v>
      </c>
      <c r="D16" s="5"/>
      <c r="E16" s="5"/>
      <c r="F16" s="5"/>
      <c r="G16" s="5"/>
      <c r="H16" s="5"/>
    </row>
    <row r="17" customFormat="false" ht="15" hidden="false" customHeight="true" outlineLevel="0" collapsed="false">
      <c r="B17" s="4" t="s">
        <v>20</v>
      </c>
      <c r="C17" s="5" t="s">
        <v>21</v>
      </c>
      <c r="D17" s="5"/>
      <c r="E17" s="5"/>
      <c r="F17" s="5"/>
      <c r="G17" s="5"/>
      <c r="H17" s="5"/>
    </row>
    <row r="18" customFormat="false" ht="15" hidden="false" customHeight="false" outlineLevel="0" collapsed="false">
      <c r="B18" s="4" t="s">
        <v>22</v>
      </c>
      <c r="C18" s="5" t="n">
        <f aca="false">COUNTA('Rate Card Master (ERP)'!$A$8:$A$310)</f>
        <v>303</v>
      </c>
      <c r="D18" s="5"/>
      <c r="E18" s="5"/>
      <c r="F18" s="5"/>
      <c r="G18" s="5"/>
      <c r="H18" s="5"/>
    </row>
    <row r="20" customFormat="false" ht="15" hidden="false" customHeight="false" outlineLevel="0" collapsed="false">
      <c r="B20" s="3" t="s">
        <v>23</v>
      </c>
    </row>
    <row r="21" customFormat="false" ht="15" hidden="false" customHeight="true" outlineLevel="0" collapsed="false">
      <c r="B21" s="7" t="s">
        <v>24</v>
      </c>
      <c r="C21" s="7" t="s">
        <v>25</v>
      </c>
      <c r="D21" s="7"/>
      <c r="E21" s="7"/>
      <c r="F21" s="7" t="s">
        <v>26</v>
      </c>
      <c r="G21" s="7"/>
      <c r="H21" s="7"/>
    </row>
    <row r="22" customFormat="false" ht="33.75" hidden="false" customHeight="true" outlineLevel="0" collapsed="false">
      <c r="B22" s="8" t="s">
        <v>27</v>
      </c>
      <c r="C22" s="9" t="s">
        <v>28</v>
      </c>
      <c r="D22" s="9"/>
      <c r="E22" s="9"/>
      <c r="F22" s="9" t="s">
        <v>29</v>
      </c>
      <c r="G22" s="9"/>
      <c r="H22" s="9"/>
    </row>
    <row r="23" customFormat="false" ht="33.75" hidden="false" customHeight="true" outlineLevel="0" collapsed="false">
      <c r="B23" s="10" t="s">
        <v>30</v>
      </c>
      <c r="C23" s="9" t="s">
        <v>31</v>
      </c>
      <c r="D23" s="9"/>
      <c r="E23" s="9"/>
      <c r="F23" s="9" t="s">
        <v>32</v>
      </c>
      <c r="G23" s="9"/>
      <c r="H23" s="9"/>
    </row>
    <row r="24" customFormat="false" ht="33.75" hidden="false" customHeight="true" outlineLevel="0" collapsed="false">
      <c r="B24" s="11" t="s">
        <v>33</v>
      </c>
      <c r="C24" s="9" t="s">
        <v>34</v>
      </c>
      <c r="D24" s="9"/>
      <c r="E24" s="9"/>
      <c r="F24" s="9" t="s">
        <v>35</v>
      </c>
      <c r="G24" s="9"/>
      <c r="H24" s="9"/>
    </row>
    <row r="26" customFormat="false" ht="15" hidden="false" customHeight="false" outlineLevel="0" collapsed="false">
      <c r="B26" s="3" t="s">
        <v>36</v>
      </c>
    </row>
    <row r="27" customFormat="false" ht="15" hidden="false" customHeight="true" outlineLevel="0" collapsed="false">
      <c r="B27" s="7" t="s">
        <v>37</v>
      </c>
      <c r="C27" s="7"/>
      <c r="D27" s="7"/>
      <c r="E27" s="7" t="s">
        <v>38</v>
      </c>
      <c r="F27" s="7" t="s">
        <v>39</v>
      </c>
      <c r="G27" s="7"/>
      <c r="H27" s="7"/>
    </row>
    <row r="28" customFormat="false" ht="15" hidden="false" customHeight="false" outlineLevel="0" collapsed="false">
      <c r="B28" s="12" t="s">
        <v>40</v>
      </c>
      <c r="C28" s="12"/>
      <c r="D28" s="12"/>
      <c r="E28" s="13" t="s">
        <v>41</v>
      </c>
      <c r="F28" s="14" t="n">
        <f aca="false">COUNTIF('Rate Card Master (ERP)'!$B$8:$B$310,$B28)</f>
        <v>52</v>
      </c>
      <c r="G28" s="14"/>
      <c r="H28" s="14"/>
    </row>
    <row r="29" customFormat="false" ht="15" hidden="false" customHeight="false" outlineLevel="0" collapsed="false">
      <c r="B29" s="12" t="s">
        <v>42</v>
      </c>
      <c r="C29" s="12"/>
      <c r="D29" s="12"/>
      <c r="E29" s="13" t="s">
        <v>43</v>
      </c>
      <c r="F29" s="14" t="n">
        <f aca="false">COUNTIF('Rate Card Master (ERP)'!$B$8:$B$310,$B29)</f>
        <v>26</v>
      </c>
      <c r="G29" s="14"/>
      <c r="H29" s="14"/>
    </row>
    <row r="30" customFormat="false" ht="15" hidden="false" customHeight="false" outlineLevel="0" collapsed="false">
      <c r="B30" s="12" t="s">
        <v>44</v>
      </c>
      <c r="C30" s="12"/>
      <c r="D30" s="12"/>
      <c r="E30" s="13" t="s">
        <v>45</v>
      </c>
      <c r="F30" s="14" t="n">
        <f aca="false">COUNTIF('Rate Card Master (ERP)'!$B$8:$B$310,$B30)</f>
        <v>30</v>
      </c>
      <c r="G30" s="14"/>
      <c r="H30" s="14"/>
    </row>
    <row r="31" customFormat="false" ht="15" hidden="false" customHeight="false" outlineLevel="0" collapsed="false">
      <c r="B31" s="12" t="s">
        <v>46</v>
      </c>
      <c r="C31" s="12"/>
      <c r="D31" s="12"/>
      <c r="E31" s="13" t="s">
        <v>47</v>
      </c>
      <c r="F31" s="14" t="n">
        <f aca="false">COUNTIF('Rate Card Master (ERP)'!$B$8:$B$310,$B31)</f>
        <v>15</v>
      </c>
      <c r="G31" s="14"/>
      <c r="H31" s="14"/>
    </row>
    <row r="32" customFormat="false" ht="15" hidden="false" customHeight="false" outlineLevel="0" collapsed="false">
      <c r="B32" s="12" t="s">
        <v>48</v>
      </c>
      <c r="C32" s="12"/>
      <c r="D32" s="12"/>
      <c r="E32" s="13" t="s">
        <v>49</v>
      </c>
      <c r="F32" s="14" t="n">
        <f aca="false">COUNTIF('Rate Card Master (ERP)'!$B$8:$B$310,$B32)</f>
        <v>25</v>
      </c>
      <c r="G32" s="14"/>
      <c r="H32" s="14"/>
    </row>
    <row r="33" customFormat="false" ht="15" hidden="false" customHeight="false" outlineLevel="0" collapsed="false">
      <c r="B33" s="12" t="s">
        <v>50</v>
      </c>
      <c r="C33" s="12"/>
      <c r="D33" s="12"/>
      <c r="E33" s="13" t="s">
        <v>51</v>
      </c>
      <c r="F33" s="14" t="n">
        <f aca="false">COUNTIF('Rate Card Master (ERP)'!$B$8:$B$310,$B33)</f>
        <v>17</v>
      </c>
      <c r="G33" s="14"/>
      <c r="H33" s="14"/>
    </row>
    <row r="34" customFormat="false" ht="15" hidden="false" customHeight="false" outlineLevel="0" collapsed="false">
      <c r="B34" s="12" t="s">
        <v>52</v>
      </c>
      <c r="C34" s="12"/>
      <c r="D34" s="12"/>
      <c r="E34" s="13" t="s">
        <v>53</v>
      </c>
      <c r="F34" s="14" t="n">
        <f aca="false">COUNTIF('Rate Card Master (ERP)'!$B$8:$B$310,$B34)</f>
        <v>22</v>
      </c>
      <c r="G34" s="14"/>
      <c r="H34" s="14"/>
    </row>
    <row r="35" customFormat="false" ht="15" hidden="false" customHeight="false" outlineLevel="0" collapsed="false">
      <c r="B35" s="12" t="s">
        <v>54</v>
      </c>
      <c r="C35" s="12"/>
      <c r="D35" s="12"/>
      <c r="E35" s="13" t="s">
        <v>55</v>
      </c>
      <c r="F35" s="14" t="n">
        <f aca="false">COUNTIF('Rate Card Master (ERP)'!$B$8:$B$310,$B35)</f>
        <v>30</v>
      </c>
      <c r="G35" s="14"/>
      <c r="H35" s="14"/>
    </row>
    <row r="36" customFormat="false" ht="15" hidden="false" customHeight="false" outlineLevel="0" collapsed="false">
      <c r="B36" s="12" t="s">
        <v>56</v>
      </c>
      <c r="C36" s="12"/>
      <c r="D36" s="12"/>
      <c r="E36" s="13" t="s">
        <v>57</v>
      </c>
      <c r="F36" s="14" t="n">
        <f aca="false">COUNTIF('Rate Card Master (ERP)'!$B$8:$B$310,$B36)</f>
        <v>10</v>
      </c>
      <c r="G36" s="14"/>
      <c r="H36" s="14"/>
    </row>
    <row r="37" customFormat="false" ht="15" hidden="false" customHeight="false" outlineLevel="0" collapsed="false">
      <c r="B37" s="12" t="s">
        <v>58</v>
      </c>
      <c r="C37" s="12"/>
      <c r="D37" s="12"/>
      <c r="E37" s="13" t="s">
        <v>59</v>
      </c>
      <c r="F37" s="14" t="n">
        <f aca="false">COUNTIF('Rate Card Master (ERP)'!$B$8:$B$310,$B37)</f>
        <v>9</v>
      </c>
      <c r="G37" s="14"/>
      <c r="H37" s="14"/>
    </row>
    <row r="38" customFormat="false" ht="15" hidden="false" customHeight="false" outlineLevel="0" collapsed="false">
      <c r="B38" s="12" t="s">
        <v>60</v>
      </c>
      <c r="C38" s="12"/>
      <c r="D38" s="12"/>
      <c r="E38" s="13" t="s">
        <v>61</v>
      </c>
      <c r="F38" s="14" t="n">
        <f aca="false">COUNTIF('Rate Card Master (ERP)'!$B$8:$B$310,$B38)</f>
        <v>13</v>
      </c>
      <c r="G38" s="14"/>
      <c r="H38" s="14"/>
    </row>
    <row r="39" customFormat="false" ht="15" hidden="false" customHeight="false" outlineLevel="0" collapsed="false">
      <c r="B39" s="12" t="s">
        <v>62</v>
      </c>
      <c r="C39" s="12"/>
      <c r="D39" s="12"/>
      <c r="E39" s="13" t="s">
        <v>63</v>
      </c>
      <c r="F39" s="14" t="n">
        <f aca="false">COUNTIF('Rate Card Master (ERP)'!$B$8:$B$310,$B39)</f>
        <v>10</v>
      </c>
      <c r="G39" s="14"/>
      <c r="H39" s="14"/>
    </row>
    <row r="40" customFormat="false" ht="15" hidden="false" customHeight="false" outlineLevel="0" collapsed="false">
      <c r="B40" s="12" t="s">
        <v>64</v>
      </c>
      <c r="C40" s="12"/>
      <c r="D40" s="12"/>
      <c r="E40" s="13" t="s">
        <v>65</v>
      </c>
      <c r="F40" s="14" t="n">
        <f aca="false">COUNTIF('Rate Card Master (ERP)'!$B$8:$B$310,$B40)</f>
        <v>13</v>
      </c>
      <c r="G40" s="14"/>
      <c r="H40" s="14"/>
    </row>
    <row r="41" customFormat="false" ht="15" hidden="false" customHeight="false" outlineLevel="0" collapsed="false">
      <c r="B41" s="12" t="s">
        <v>66</v>
      </c>
      <c r="C41" s="12"/>
      <c r="D41" s="12"/>
      <c r="E41" s="13" t="s">
        <v>67</v>
      </c>
      <c r="F41" s="14" t="n">
        <f aca="false">COUNTIF('Rate Card Master (ERP)'!$B$8:$B$310,$B41)</f>
        <v>7</v>
      </c>
      <c r="G41" s="14"/>
      <c r="H41" s="14"/>
    </row>
    <row r="42" customFormat="false" ht="15" hidden="false" customHeight="false" outlineLevel="0" collapsed="false">
      <c r="B42" s="12" t="s">
        <v>68</v>
      </c>
      <c r="C42" s="12"/>
      <c r="D42" s="12"/>
      <c r="E42" s="13" t="s">
        <v>69</v>
      </c>
      <c r="F42" s="14" t="n">
        <f aca="false">COUNTIF('Rate Card Master (ERP)'!$B$8:$B$310,$B42)</f>
        <v>6</v>
      </c>
      <c r="G42" s="14"/>
      <c r="H42" s="14"/>
    </row>
    <row r="43" customFormat="false" ht="15" hidden="false" customHeight="false" outlineLevel="0" collapsed="false">
      <c r="B43" s="12" t="s">
        <v>70</v>
      </c>
      <c r="C43" s="12"/>
      <c r="D43" s="12"/>
      <c r="E43" s="13" t="s">
        <v>71</v>
      </c>
      <c r="F43" s="14" t="n">
        <f aca="false">COUNTIF('Rate Card Master (ERP)'!$B$8:$B$310,$B43)</f>
        <v>18</v>
      </c>
      <c r="G43" s="14"/>
      <c r="H43" s="14"/>
    </row>
    <row r="45" customFormat="false" ht="43.5" hidden="false" customHeight="true" outlineLevel="0" collapsed="false">
      <c r="B45" s="15" t="s">
        <v>72</v>
      </c>
      <c r="C45" s="15"/>
      <c r="D45" s="15"/>
      <c r="E45" s="15"/>
      <c r="F45" s="15"/>
      <c r="G45" s="15"/>
      <c r="H45" s="15"/>
    </row>
  </sheetData>
  <mergeCells count="56">
    <mergeCell ref="B2:H4"/>
    <mergeCell ref="B5:H5"/>
    <mergeCell ref="C8:H8"/>
    <mergeCell ref="C9:H9"/>
    <mergeCell ref="C10:H10"/>
    <mergeCell ref="C11:H11"/>
    <mergeCell ref="C12:H12"/>
    <mergeCell ref="C13:H13"/>
    <mergeCell ref="C14:H14"/>
    <mergeCell ref="C15:H15"/>
    <mergeCell ref="C16:H16"/>
    <mergeCell ref="C17:H17"/>
    <mergeCell ref="C18:H18"/>
    <mergeCell ref="C21:E21"/>
    <mergeCell ref="F21:H21"/>
    <mergeCell ref="C22:E22"/>
    <mergeCell ref="F22:H22"/>
    <mergeCell ref="C23:E23"/>
    <mergeCell ref="F23:H23"/>
    <mergeCell ref="C24:E24"/>
    <mergeCell ref="F24:H24"/>
    <mergeCell ref="B27:D27"/>
    <mergeCell ref="F27:H27"/>
    <mergeCell ref="B28:D28"/>
    <mergeCell ref="F28:H28"/>
    <mergeCell ref="B29:D29"/>
    <mergeCell ref="F29:H29"/>
    <mergeCell ref="B30:D30"/>
    <mergeCell ref="F30:H30"/>
    <mergeCell ref="B31:D31"/>
    <mergeCell ref="F31:H31"/>
    <mergeCell ref="B32:D32"/>
    <mergeCell ref="F32:H32"/>
    <mergeCell ref="B33:D33"/>
    <mergeCell ref="F33:H33"/>
    <mergeCell ref="B34:D34"/>
    <mergeCell ref="F34:H34"/>
    <mergeCell ref="B35:D35"/>
    <mergeCell ref="F35:H35"/>
    <mergeCell ref="B36:D36"/>
    <mergeCell ref="F36:H36"/>
    <mergeCell ref="B37:D37"/>
    <mergeCell ref="F37:H37"/>
    <mergeCell ref="B38:D38"/>
    <mergeCell ref="F38:H38"/>
    <mergeCell ref="B39:D39"/>
    <mergeCell ref="F39:H39"/>
    <mergeCell ref="B40:D40"/>
    <mergeCell ref="F40:H40"/>
    <mergeCell ref="B41:D41"/>
    <mergeCell ref="F41:H41"/>
    <mergeCell ref="B42:D42"/>
    <mergeCell ref="F42:H42"/>
    <mergeCell ref="B43:D43"/>
    <mergeCell ref="F43:H43"/>
    <mergeCell ref="B45:H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7" topLeftCell="D8" activePane="bottomRight" state="frozen"/>
      <selection pane="topLeft" activeCell="A1" activeCellId="0" sqref="A1"/>
      <selection pane="topRight" activeCell="D1" activeCellId="0" sqref="D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30"/>
    <col collapsed="false" customWidth="true" hidden="false" outlineLevel="0" max="3" min="3" style="0" width="22"/>
    <col collapsed="false" customWidth="true" hidden="false" outlineLevel="0" max="4" min="4" style="0" width="52"/>
    <col collapsed="false" customWidth="true" hidden="false" outlineLevel="0" max="5" min="5" style="0" width="26"/>
    <col collapsed="false" customWidth="true" hidden="false" outlineLevel="0" max="6" min="6" style="0" width="24"/>
    <col collapsed="false" customWidth="true" hidden="false" outlineLevel="0" max="7" min="7" style="0" width="13"/>
    <col collapsed="false" customWidth="true" hidden="false" outlineLevel="0" max="8" min="8" style="0" width="12"/>
    <col collapsed="false" customWidth="true" hidden="false" outlineLevel="0" max="9" min="9" style="0" width="16"/>
    <col collapsed="false" customWidth="true" hidden="false" outlineLevel="0" max="10" min="10" style="0" width="15"/>
    <col collapsed="false" customWidth="true" hidden="false" outlineLevel="0" max="11" min="11" style="0" width="22"/>
    <col collapsed="false" customWidth="true" hidden="false" outlineLevel="0" max="12" min="12" style="0" width="13"/>
    <col collapsed="false" customWidth="true" hidden="false" outlineLevel="0" max="13" min="13" style="0" width="16"/>
    <col collapsed="false" customWidth="true" hidden="false" outlineLevel="0" max="14" min="14" style="0" width="72"/>
  </cols>
  <sheetData>
    <row r="1" customFormat="false" ht="27.75" hidden="false" customHeight="true" outlineLevel="0" collapsed="false">
      <c r="A1" s="1" t="s">
        <v>73</v>
      </c>
      <c r="B1" s="1"/>
      <c r="C1" s="1"/>
      <c r="D1" s="1"/>
      <c r="E1" s="1"/>
      <c r="F1" s="1"/>
      <c r="G1" s="1"/>
      <c r="H1" s="1"/>
      <c r="I1" s="1"/>
      <c r="J1" s="1"/>
      <c r="K1" s="1"/>
      <c r="L1" s="1"/>
      <c r="M1" s="1"/>
      <c r="N1" s="1"/>
    </row>
    <row r="2" customFormat="false" ht="30" hidden="false" customHeight="true" outlineLevel="0" collapsed="false">
      <c r="A2" s="16" t="s">
        <v>74</v>
      </c>
      <c r="B2" s="16"/>
      <c r="C2" s="16"/>
      <c r="D2" s="16"/>
      <c r="E2" s="16"/>
      <c r="F2" s="16"/>
      <c r="G2" s="16"/>
      <c r="H2" s="16"/>
      <c r="I2" s="16"/>
      <c r="J2" s="16"/>
      <c r="K2" s="16"/>
      <c r="L2" s="16"/>
      <c r="M2" s="16"/>
      <c r="N2" s="16"/>
    </row>
    <row r="4" customFormat="false" ht="18" hidden="false" customHeight="true" outlineLevel="0" collapsed="false">
      <c r="A4" s="17" t="s">
        <v>75</v>
      </c>
      <c r="B4" s="17"/>
      <c r="C4" s="17"/>
      <c r="D4" s="17"/>
      <c r="E4" s="17"/>
      <c r="F4" s="17"/>
      <c r="G4" s="17"/>
      <c r="H4" s="17"/>
      <c r="I4" s="17"/>
      <c r="J4" s="17"/>
      <c r="K4" s="17"/>
      <c r="L4" s="17"/>
      <c r="M4" s="17"/>
      <c r="N4" s="17"/>
    </row>
    <row r="7" customFormat="false" ht="31.5" hidden="false" customHeight="true" outlineLevel="0" collapsed="false">
      <c r="A7" s="7" t="s">
        <v>76</v>
      </c>
      <c r="B7" s="7" t="s">
        <v>37</v>
      </c>
      <c r="C7" s="7" t="s">
        <v>77</v>
      </c>
      <c r="D7" s="7" t="s">
        <v>78</v>
      </c>
      <c r="E7" s="7" t="s">
        <v>79</v>
      </c>
      <c r="F7" s="7" t="s">
        <v>80</v>
      </c>
      <c r="G7" s="7" t="s">
        <v>81</v>
      </c>
      <c r="H7" s="7" t="s">
        <v>82</v>
      </c>
      <c r="I7" s="7" t="s">
        <v>83</v>
      </c>
      <c r="J7" s="7" t="s">
        <v>84</v>
      </c>
      <c r="K7" s="7" t="s">
        <v>85</v>
      </c>
      <c r="L7" s="7" t="s">
        <v>86</v>
      </c>
      <c r="M7" s="7" t="s">
        <v>87</v>
      </c>
      <c r="N7" s="7" t="s">
        <v>88</v>
      </c>
    </row>
    <row r="8" customFormat="false" ht="30" hidden="false" customHeight="true" outlineLevel="0" collapsed="false">
      <c r="A8" s="18" t="s">
        <v>89</v>
      </c>
      <c r="B8" s="19" t="s">
        <v>40</v>
      </c>
      <c r="C8" s="9" t="s">
        <v>90</v>
      </c>
      <c r="D8" s="9" t="s">
        <v>91</v>
      </c>
      <c r="E8" s="9" t="s">
        <v>92</v>
      </c>
      <c r="F8" s="9" t="s">
        <v>93</v>
      </c>
      <c r="G8" s="20" t="n">
        <v>45</v>
      </c>
      <c r="H8" s="21" t="n">
        <f aca="false">IF(AND($L8="Yes",ISERROR(SEARCH("%",$F8))),$G8*'Cover &amp; Legend'!$C$12,0)</f>
        <v>6.75</v>
      </c>
      <c r="I8" s="21" t="n">
        <f aca="false">IF(ISERROR(SEARCH("%",$F8)),$G8+$H8,0)</f>
        <v>51.75</v>
      </c>
      <c r="J8" s="21" t="n">
        <v>2500</v>
      </c>
      <c r="K8" s="9" t="s">
        <v>94</v>
      </c>
      <c r="L8" s="18" t="s">
        <v>95</v>
      </c>
      <c r="M8" s="22" t="s">
        <v>96</v>
      </c>
      <c r="N8" s="23" t="s">
        <v>97</v>
      </c>
    </row>
    <row r="9" customFormat="false" ht="30" hidden="false" customHeight="true" outlineLevel="0" collapsed="false">
      <c r="A9" s="18" t="s">
        <v>98</v>
      </c>
      <c r="B9" s="9" t="s">
        <v>40</v>
      </c>
      <c r="C9" s="9" t="s">
        <v>90</v>
      </c>
      <c r="D9" s="9" t="s">
        <v>99</v>
      </c>
      <c r="E9" s="9" t="s">
        <v>92</v>
      </c>
      <c r="F9" s="9" t="s">
        <v>100</v>
      </c>
      <c r="G9" s="20" t="n">
        <v>45</v>
      </c>
      <c r="H9" s="21" t="n">
        <f aca="false">IF(AND($L9="Yes",ISERROR(SEARCH("%",$F9))),$G9*'Cover &amp; Legend'!$C$12,0)</f>
        <v>6.75</v>
      </c>
      <c r="I9" s="21" t="n">
        <f aca="false">IF(ISERROR(SEARCH("%",$F9)),$G9+$H9,0)</f>
        <v>51.75</v>
      </c>
      <c r="J9" s="21" t="n">
        <v>2500</v>
      </c>
      <c r="K9" s="9" t="s">
        <v>94</v>
      </c>
      <c r="L9" s="18" t="s">
        <v>95</v>
      </c>
      <c r="M9" s="22" t="s">
        <v>96</v>
      </c>
      <c r="N9" s="23" t="s">
        <v>101</v>
      </c>
    </row>
    <row r="10" customFormat="false" ht="30" hidden="false" customHeight="true" outlineLevel="0" collapsed="false">
      <c r="A10" s="18" t="s">
        <v>102</v>
      </c>
      <c r="B10" s="9" t="s">
        <v>40</v>
      </c>
      <c r="C10" s="9" t="s">
        <v>90</v>
      </c>
      <c r="D10" s="9" t="s">
        <v>103</v>
      </c>
      <c r="E10" s="9" t="s">
        <v>92</v>
      </c>
      <c r="F10" s="9" t="s">
        <v>104</v>
      </c>
      <c r="G10" s="20" t="n">
        <v>2</v>
      </c>
      <c r="H10" s="21" t="n">
        <f aca="false">IF(AND($L10="Yes",ISERROR(SEARCH("%",$F10))),$G10*'Cover &amp; Legend'!$C$12,0)</f>
        <v>0.3</v>
      </c>
      <c r="I10" s="21" t="n">
        <f aca="false">IF(ISERROR(SEARCH("%",$F10)),$G10+$H10,0)</f>
        <v>2.3</v>
      </c>
      <c r="J10" s="21" t="n">
        <v>500</v>
      </c>
      <c r="K10" s="9" t="s">
        <v>105</v>
      </c>
      <c r="L10" s="18" t="s">
        <v>95</v>
      </c>
      <c r="M10" s="22" t="s">
        <v>96</v>
      </c>
      <c r="N10" s="23" t="s">
        <v>106</v>
      </c>
    </row>
    <row r="11" customFormat="false" ht="30" hidden="false" customHeight="true" outlineLevel="0" collapsed="false">
      <c r="A11" s="18" t="s">
        <v>107</v>
      </c>
      <c r="B11" s="9" t="s">
        <v>40</v>
      </c>
      <c r="C11" s="9" t="s">
        <v>108</v>
      </c>
      <c r="D11" s="9" t="s">
        <v>109</v>
      </c>
      <c r="E11" s="9" t="s">
        <v>110</v>
      </c>
      <c r="F11" s="9" t="s">
        <v>93</v>
      </c>
      <c r="G11" s="20" t="n">
        <v>65</v>
      </c>
      <c r="H11" s="21" t="n">
        <f aca="false">IF(AND($L11="Yes",ISERROR(SEARCH("%",$F11))),$G11*'Cover &amp; Legend'!$C$12,0)</f>
        <v>9.75</v>
      </c>
      <c r="I11" s="21" t="n">
        <f aca="false">IF(ISERROR(SEARCH("%",$F11)),$G11+$H11,0)</f>
        <v>74.75</v>
      </c>
      <c r="J11" s="21" t="n">
        <v>2500</v>
      </c>
      <c r="K11" s="9" t="s">
        <v>94</v>
      </c>
      <c r="L11" s="18" t="s">
        <v>95</v>
      </c>
      <c r="M11" s="24" t="s">
        <v>111</v>
      </c>
      <c r="N11" s="23" t="s">
        <v>112</v>
      </c>
    </row>
    <row r="12" customFormat="false" ht="30" hidden="false" customHeight="true" outlineLevel="0" collapsed="false">
      <c r="A12" s="18" t="s">
        <v>113</v>
      </c>
      <c r="B12" s="9" t="s">
        <v>40</v>
      </c>
      <c r="C12" s="9" t="s">
        <v>108</v>
      </c>
      <c r="D12" s="9" t="s">
        <v>109</v>
      </c>
      <c r="E12" s="9" t="s">
        <v>110</v>
      </c>
      <c r="F12" s="9" t="s">
        <v>100</v>
      </c>
      <c r="G12" s="20" t="n">
        <v>65</v>
      </c>
      <c r="H12" s="21" t="n">
        <f aca="false">IF(AND($L12="Yes",ISERROR(SEARCH("%",$F12))),$G12*'Cover &amp; Legend'!$C$12,0)</f>
        <v>9.75</v>
      </c>
      <c r="I12" s="21" t="n">
        <f aca="false">IF(ISERROR(SEARCH("%",$F12)),$G12+$H12,0)</f>
        <v>74.75</v>
      </c>
      <c r="J12" s="21" t="n">
        <v>2500</v>
      </c>
      <c r="K12" s="9" t="s">
        <v>94</v>
      </c>
      <c r="L12" s="18" t="s">
        <v>95</v>
      </c>
      <c r="M12" s="22" t="s">
        <v>96</v>
      </c>
      <c r="N12" s="23" t="s">
        <v>114</v>
      </c>
    </row>
    <row r="13" customFormat="false" ht="30" hidden="false" customHeight="true" outlineLevel="0" collapsed="false">
      <c r="A13" s="18" t="s">
        <v>115</v>
      </c>
      <c r="B13" s="9" t="s">
        <v>40</v>
      </c>
      <c r="C13" s="9" t="s">
        <v>108</v>
      </c>
      <c r="D13" s="9" t="s">
        <v>116</v>
      </c>
      <c r="E13" s="9" t="s">
        <v>110</v>
      </c>
      <c r="F13" s="9" t="s">
        <v>104</v>
      </c>
      <c r="G13" s="20" t="n">
        <v>4</v>
      </c>
      <c r="H13" s="21" t="n">
        <f aca="false">IF(AND($L13="Yes",ISERROR(SEARCH("%",$F13))),$G13*'Cover &amp; Legend'!$C$12,0)</f>
        <v>0.6</v>
      </c>
      <c r="I13" s="21" t="n">
        <f aca="false">IF(ISERROR(SEARCH("%",$F13)),$G13+$H13,0)</f>
        <v>4.6</v>
      </c>
      <c r="J13" s="21" t="n">
        <v>500</v>
      </c>
      <c r="K13" s="9" t="s">
        <v>105</v>
      </c>
      <c r="L13" s="18" t="s">
        <v>95</v>
      </c>
      <c r="M13" s="22" t="s">
        <v>96</v>
      </c>
      <c r="N13" s="23" t="s">
        <v>117</v>
      </c>
    </row>
    <row r="14" customFormat="false" ht="30" hidden="false" customHeight="true" outlineLevel="0" collapsed="false">
      <c r="A14" s="18" t="s">
        <v>118</v>
      </c>
      <c r="B14" s="9" t="s">
        <v>40</v>
      </c>
      <c r="C14" s="9" t="s">
        <v>119</v>
      </c>
      <c r="D14" s="9" t="s">
        <v>120</v>
      </c>
      <c r="E14" s="9" t="s">
        <v>121</v>
      </c>
      <c r="F14" s="9" t="s">
        <v>93</v>
      </c>
      <c r="G14" s="20" t="n">
        <v>75</v>
      </c>
      <c r="H14" s="21" t="n">
        <f aca="false">IF(AND($L14="Yes",ISERROR(SEARCH("%",$F14))),$G14*'Cover &amp; Legend'!$C$12,0)</f>
        <v>11.25</v>
      </c>
      <c r="I14" s="21" t="n">
        <f aca="false">IF(ISERROR(SEARCH("%",$F14)),$G14+$H14,0)</f>
        <v>86.25</v>
      </c>
      <c r="J14" s="21" t="n">
        <v>3000</v>
      </c>
      <c r="K14" s="9" t="s">
        <v>94</v>
      </c>
      <c r="L14" s="18" t="s">
        <v>95</v>
      </c>
      <c r="M14" s="22" t="s">
        <v>96</v>
      </c>
      <c r="N14" s="23" t="s">
        <v>122</v>
      </c>
    </row>
    <row r="15" customFormat="false" ht="30" hidden="false" customHeight="true" outlineLevel="0" collapsed="false">
      <c r="A15" s="18" t="s">
        <v>123</v>
      </c>
      <c r="B15" s="9" t="s">
        <v>40</v>
      </c>
      <c r="C15" s="9" t="s">
        <v>119</v>
      </c>
      <c r="D15" s="9" t="s">
        <v>120</v>
      </c>
      <c r="E15" s="9" t="s">
        <v>121</v>
      </c>
      <c r="F15" s="9" t="s">
        <v>100</v>
      </c>
      <c r="G15" s="20" t="n">
        <v>75</v>
      </c>
      <c r="H15" s="21" t="n">
        <f aca="false">IF(AND($L15="Yes",ISERROR(SEARCH("%",$F15))),$G15*'Cover &amp; Legend'!$C$12,0)</f>
        <v>11.25</v>
      </c>
      <c r="I15" s="21" t="n">
        <f aca="false">IF(ISERROR(SEARCH("%",$F15)),$G15+$H15,0)</f>
        <v>86.25</v>
      </c>
      <c r="J15" s="21" t="n">
        <v>3000</v>
      </c>
      <c r="K15" s="9" t="s">
        <v>94</v>
      </c>
      <c r="L15" s="18" t="s">
        <v>95</v>
      </c>
      <c r="M15" s="22" t="s">
        <v>96</v>
      </c>
      <c r="N15" s="23" t="s">
        <v>124</v>
      </c>
    </row>
    <row r="16" customFormat="false" ht="30" hidden="false" customHeight="true" outlineLevel="0" collapsed="false">
      <c r="A16" s="18" t="s">
        <v>125</v>
      </c>
      <c r="B16" s="9" t="s">
        <v>40</v>
      </c>
      <c r="C16" s="9" t="s">
        <v>119</v>
      </c>
      <c r="D16" s="9" t="s">
        <v>126</v>
      </c>
      <c r="E16" s="9" t="s">
        <v>121</v>
      </c>
      <c r="F16" s="9" t="s">
        <v>104</v>
      </c>
      <c r="G16" s="20" t="n">
        <v>4</v>
      </c>
      <c r="H16" s="21" t="n">
        <f aca="false">IF(AND($L16="Yes",ISERROR(SEARCH("%",$F16))),$G16*'Cover &amp; Legend'!$C$12,0)</f>
        <v>0.6</v>
      </c>
      <c r="I16" s="21" t="n">
        <f aca="false">IF(ISERROR(SEARCH("%",$F16)),$G16+$H16,0)</f>
        <v>4.6</v>
      </c>
      <c r="J16" s="21" t="n">
        <v>500</v>
      </c>
      <c r="K16" s="9" t="s">
        <v>105</v>
      </c>
      <c r="L16" s="18" t="s">
        <v>95</v>
      </c>
      <c r="M16" s="22" t="s">
        <v>96</v>
      </c>
      <c r="N16" s="23" t="s">
        <v>114</v>
      </c>
    </row>
    <row r="17" customFormat="false" ht="30" hidden="false" customHeight="true" outlineLevel="0" collapsed="false">
      <c r="A17" s="18" t="s">
        <v>127</v>
      </c>
      <c r="B17" s="9" t="s">
        <v>40</v>
      </c>
      <c r="C17" s="9" t="s">
        <v>119</v>
      </c>
      <c r="D17" s="9" t="s">
        <v>128</v>
      </c>
      <c r="E17" s="9" t="s">
        <v>121</v>
      </c>
      <c r="F17" s="9" t="s">
        <v>93</v>
      </c>
      <c r="G17" s="20" t="n">
        <v>65</v>
      </c>
      <c r="H17" s="21" t="n">
        <f aca="false">IF(AND($L17="Yes",ISERROR(SEARCH("%",$F17))),$G17*'Cover &amp; Legend'!$C$12,0)</f>
        <v>9.75</v>
      </c>
      <c r="I17" s="21" t="n">
        <f aca="false">IF(ISERROR(SEARCH("%",$F17)),$G17+$H17,0)</f>
        <v>74.75</v>
      </c>
      <c r="J17" s="21" t="n">
        <v>3000</v>
      </c>
      <c r="K17" s="9" t="s">
        <v>94</v>
      </c>
      <c r="L17" s="18" t="s">
        <v>95</v>
      </c>
      <c r="M17" s="22" t="s">
        <v>96</v>
      </c>
      <c r="N17" s="23" t="s">
        <v>124</v>
      </c>
    </row>
    <row r="18" customFormat="false" ht="30" hidden="false" customHeight="true" outlineLevel="0" collapsed="false">
      <c r="A18" s="18" t="s">
        <v>129</v>
      </c>
      <c r="B18" s="9" t="s">
        <v>40</v>
      </c>
      <c r="C18" s="9" t="s">
        <v>119</v>
      </c>
      <c r="D18" s="9" t="s">
        <v>128</v>
      </c>
      <c r="E18" s="9" t="s">
        <v>121</v>
      </c>
      <c r="F18" s="9" t="s">
        <v>100</v>
      </c>
      <c r="G18" s="20" t="n">
        <v>65</v>
      </c>
      <c r="H18" s="21" t="n">
        <f aca="false">IF(AND($L18="Yes",ISERROR(SEARCH("%",$F18))),$G18*'Cover &amp; Legend'!$C$12,0)</f>
        <v>9.75</v>
      </c>
      <c r="I18" s="21" t="n">
        <f aca="false">IF(ISERROR(SEARCH("%",$F18)),$G18+$H18,0)</f>
        <v>74.75</v>
      </c>
      <c r="J18" s="21" t="n">
        <v>3000</v>
      </c>
      <c r="K18" s="9" t="s">
        <v>94</v>
      </c>
      <c r="L18" s="18" t="s">
        <v>95</v>
      </c>
      <c r="M18" s="22" t="s">
        <v>96</v>
      </c>
      <c r="N18" s="23" t="s">
        <v>124</v>
      </c>
    </row>
    <row r="19" customFormat="false" ht="30" hidden="false" customHeight="true" outlineLevel="0" collapsed="false">
      <c r="A19" s="18" t="s">
        <v>130</v>
      </c>
      <c r="B19" s="9" t="s">
        <v>40</v>
      </c>
      <c r="C19" s="9" t="s">
        <v>119</v>
      </c>
      <c r="D19" s="9" t="s">
        <v>131</v>
      </c>
      <c r="E19" s="9" t="s">
        <v>121</v>
      </c>
      <c r="F19" s="9" t="s">
        <v>104</v>
      </c>
      <c r="G19" s="20" t="n">
        <v>3.5</v>
      </c>
      <c r="H19" s="21" t="n">
        <f aca="false">IF(AND($L19="Yes",ISERROR(SEARCH("%",$F19))),$G19*'Cover &amp; Legend'!$C$12,0)</f>
        <v>0.525</v>
      </c>
      <c r="I19" s="21" t="n">
        <f aca="false">IF(ISERROR(SEARCH("%",$F19)),$G19+$H19,0)</f>
        <v>4.025</v>
      </c>
      <c r="J19" s="21" t="n">
        <v>500</v>
      </c>
      <c r="K19" s="9" t="s">
        <v>105</v>
      </c>
      <c r="L19" s="18" t="s">
        <v>95</v>
      </c>
      <c r="M19" s="22" t="s">
        <v>96</v>
      </c>
      <c r="N19" s="23" t="s">
        <v>114</v>
      </c>
    </row>
    <row r="20" customFormat="false" ht="30" hidden="false" customHeight="true" outlineLevel="0" collapsed="false">
      <c r="A20" s="18" t="s">
        <v>132</v>
      </c>
      <c r="B20" s="9" t="s">
        <v>40</v>
      </c>
      <c r="C20" s="9" t="s">
        <v>133</v>
      </c>
      <c r="D20" s="9" t="s">
        <v>134</v>
      </c>
      <c r="E20" s="9" t="s">
        <v>135</v>
      </c>
      <c r="F20" s="9" t="s">
        <v>93</v>
      </c>
      <c r="G20" s="20" t="n">
        <v>95</v>
      </c>
      <c r="H20" s="21" t="n">
        <f aca="false">IF(AND($L20="Yes",ISERROR(SEARCH("%",$F20))),$G20*'Cover &amp; Legend'!$C$12,0)</f>
        <v>14.25</v>
      </c>
      <c r="I20" s="21" t="n">
        <f aca="false">IF(ISERROR(SEARCH("%",$F20)),$G20+$H20,0)</f>
        <v>109.25</v>
      </c>
      <c r="J20" s="21" t="n">
        <v>5000</v>
      </c>
      <c r="K20" s="9" t="s">
        <v>94</v>
      </c>
      <c r="L20" s="18" t="s">
        <v>95</v>
      </c>
      <c r="M20" s="22" t="s">
        <v>96</v>
      </c>
      <c r="N20" s="23" t="s">
        <v>136</v>
      </c>
    </row>
    <row r="21" customFormat="false" ht="30" hidden="false" customHeight="true" outlineLevel="0" collapsed="false">
      <c r="A21" s="18" t="s">
        <v>137</v>
      </c>
      <c r="B21" s="9" t="s">
        <v>40</v>
      </c>
      <c r="C21" s="9" t="s">
        <v>133</v>
      </c>
      <c r="D21" s="9" t="s">
        <v>134</v>
      </c>
      <c r="E21" s="9" t="s">
        <v>135</v>
      </c>
      <c r="F21" s="9" t="s">
        <v>100</v>
      </c>
      <c r="G21" s="20" t="n">
        <v>95</v>
      </c>
      <c r="H21" s="21" t="n">
        <f aca="false">IF(AND($L21="Yes",ISERROR(SEARCH("%",$F21))),$G21*'Cover &amp; Legend'!$C$12,0)</f>
        <v>14.25</v>
      </c>
      <c r="I21" s="21" t="n">
        <f aca="false">IF(ISERROR(SEARCH("%",$F21)),$G21+$H21,0)</f>
        <v>109.25</v>
      </c>
      <c r="J21" s="21" t="n">
        <v>5000</v>
      </c>
      <c r="K21" s="9" t="s">
        <v>94</v>
      </c>
      <c r="L21" s="18" t="s">
        <v>95</v>
      </c>
      <c r="M21" s="22" t="s">
        <v>96</v>
      </c>
      <c r="N21" s="23" t="s">
        <v>138</v>
      </c>
    </row>
    <row r="22" customFormat="false" ht="30" hidden="false" customHeight="true" outlineLevel="0" collapsed="false">
      <c r="A22" s="18" t="s">
        <v>139</v>
      </c>
      <c r="B22" s="9" t="s">
        <v>40</v>
      </c>
      <c r="C22" s="9" t="s">
        <v>133</v>
      </c>
      <c r="D22" s="9" t="s">
        <v>140</v>
      </c>
      <c r="E22" s="9" t="s">
        <v>135</v>
      </c>
      <c r="F22" s="9" t="s">
        <v>104</v>
      </c>
      <c r="G22" s="20" t="n">
        <v>5</v>
      </c>
      <c r="H22" s="21" t="n">
        <f aca="false">IF(AND($L22="Yes",ISERROR(SEARCH("%",$F22))),$G22*'Cover &amp; Legend'!$C$12,0)</f>
        <v>0.75</v>
      </c>
      <c r="I22" s="21" t="n">
        <f aca="false">IF(ISERROR(SEARCH("%",$F22)),$G22+$H22,0)</f>
        <v>5.75</v>
      </c>
      <c r="J22" s="21" t="n">
        <v>750</v>
      </c>
      <c r="K22" s="9" t="s">
        <v>105</v>
      </c>
      <c r="L22" s="18" t="s">
        <v>95</v>
      </c>
      <c r="M22" s="22" t="s">
        <v>96</v>
      </c>
      <c r="N22" s="23" t="s">
        <v>114</v>
      </c>
    </row>
    <row r="23" customFormat="false" ht="30" hidden="false" customHeight="true" outlineLevel="0" collapsed="false">
      <c r="A23" s="18" t="s">
        <v>141</v>
      </c>
      <c r="B23" s="9" t="s">
        <v>40</v>
      </c>
      <c r="C23" s="9" t="s">
        <v>133</v>
      </c>
      <c r="D23" s="9" t="s">
        <v>142</v>
      </c>
      <c r="E23" s="9" t="s">
        <v>143</v>
      </c>
      <c r="F23" s="9" t="s">
        <v>93</v>
      </c>
      <c r="G23" s="20" t="n">
        <v>95</v>
      </c>
      <c r="H23" s="21" t="n">
        <f aca="false">IF(AND($L23="Yes",ISERROR(SEARCH("%",$F23))),$G23*'Cover &amp; Legend'!$C$12,0)</f>
        <v>14.25</v>
      </c>
      <c r="I23" s="21" t="n">
        <f aca="false">IF(ISERROR(SEARCH("%",$F23)),$G23+$H23,0)</f>
        <v>109.25</v>
      </c>
      <c r="J23" s="21" t="n">
        <v>5000</v>
      </c>
      <c r="K23" s="9" t="s">
        <v>94</v>
      </c>
      <c r="L23" s="18" t="s">
        <v>95</v>
      </c>
      <c r="M23" s="22" t="s">
        <v>96</v>
      </c>
      <c r="N23" s="23" t="s">
        <v>144</v>
      </c>
    </row>
    <row r="24" customFormat="false" ht="30" hidden="false" customHeight="true" outlineLevel="0" collapsed="false">
      <c r="A24" s="18" t="s">
        <v>145</v>
      </c>
      <c r="B24" s="9" t="s">
        <v>40</v>
      </c>
      <c r="C24" s="9" t="s">
        <v>133</v>
      </c>
      <c r="D24" s="9" t="s">
        <v>142</v>
      </c>
      <c r="E24" s="9" t="s">
        <v>143</v>
      </c>
      <c r="F24" s="9" t="s">
        <v>100</v>
      </c>
      <c r="G24" s="20" t="n">
        <v>95</v>
      </c>
      <c r="H24" s="21" t="n">
        <f aca="false">IF(AND($L24="Yes",ISERROR(SEARCH("%",$F24))),$G24*'Cover &amp; Legend'!$C$12,0)</f>
        <v>14.25</v>
      </c>
      <c r="I24" s="21" t="n">
        <f aca="false">IF(ISERROR(SEARCH("%",$F24)),$G24+$H24,0)</f>
        <v>109.25</v>
      </c>
      <c r="J24" s="21" t="n">
        <v>5000</v>
      </c>
      <c r="K24" s="9" t="s">
        <v>94</v>
      </c>
      <c r="L24" s="18" t="s">
        <v>95</v>
      </c>
      <c r="M24" s="22" t="s">
        <v>96</v>
      </c>
      <c r="N24" s="23" t="s">
        <v>144</v>
      </c>
    </row>
    <row r="25" customFormat="false" ht="30" hidden="false" customHeight="true" outlineLevel="0" collapsed="false">
      <c r="A25" s="18" t="s">
        <v>146</v>
      </c>
      <c r="B25" s="9" t="s">
        <v>40</v>
      </c>
      <c r="C25" s="9" t="s">
        <v>133</v>
      </c>
      <c r="D25" s="9" t="s">
        <v>147</v>
      </c>
      <c r="E25" s="9" t="s">
        <v>143</v>
      </c>
      <c r="F25" s="9" t="s">
        <v>104</v>
      </c>
      <c r="G25" s="20" t="n">
        <v>5</v>
      </c>
      <c r="H25" s="21" t="n">
        <f aca="false">IF(AND($L25="Yes",ISERROR(SEARCH("%",$F25))),$G25*'Cover &amp; Legend'!$C$12,0)</f>
        <v>0.75</v>
      </c>
      <c r="I25" s="21" t="n">
        <f aca="false">IF(ISERROR(SEARCH("%",$F25)),$G25+$H25,0)</f>
        <v>5.75</v>
      </c>
      <c r="J25" s="21" t="n">
        <v>750</v>
      </c>
      <c r="K25" s="9" t="s">
        <v>105</v>
      </c>
      <c r="L25" s="18" t="s">
        <v>95</v>
      </c>
      <c r="M25" s="22" t="s">
        <v>96</v>
      </c>
      <c r="N25" s="23" t="s">
        <v>114</v>
      </c>
    </row>
    <row r="26" customFormat="false" ht="30" hidden="false" customHeight="true" outlineLevel="0" collapsed="false">
      <c r="A26" s="18" t="s">
        <v>148</v>
      </c>
      <c r="B26" s="9" t="s">
        <v>40</v>
      </c>
      <c r="C26" s="9" t="s">
        <v>133</v>
      </c>
      <c r="D26" s="9" t="s">
        <v>149</v>
      </c>
      <c r="E26" s="9" t="s">
        <v>150</v>
      </c>
      <c r="F26" s="9" t="s">
        <v>93</v>
      </c>
      <c r="G26" s="20" t="n">
        <v>95</v>
      </c>
      <c r="H26" s="21" t="n">
        <f aca="false">IF(AND($L26="Yes",ISERROR(SEARCH("%",$F26))),$G26*'Cover &amp; Legend'!$C$12,0)</f>
        <v>14.25</v>
      </c>
      <c r="I26" s="21" t="n">
        <f aca="false">IF(ISERROR(SEARCH("%",$F26)),$G26+$H26,0)</f>
        <v>109.25</v>
      </c>
      <c r="J26" s="21" t="n">
        <v>5000</v>
      </c>
      <c r="K26" s="9" t="s">
        <v>94</v>
      </c>
      <c r="L26" s="18" t="s">
        <v>95</v>
      </c>
      <c r="M26" s="22" t="s">
        <v>96</v>
      </c>
      <c r="N26" s="23" t="s">
        <v>151</v>
      </c>
    </row>
    <row r="27" customFormat="false" ht="30" hidden="false" customHeight="true" outlineLevel="0" collapsed="false">
      <c r="A27" s="18" t="s">
        <v>152</v>
      </c>
      <c r="B27" s="9" t="s">
        <v>40</v>
      </c>
      <c r="C27" s="9" t="s">
        <v>133</v>
      </c>
      <c r="D27" s="9" t="s">
        <v>149</v>
      </c>
      <c r="E27" s="9" t="s">
        <v>150</v>
      </c>
      <c r="F27" s="9" t="s">
        <v>100</v>
      </c>
      <c r="G27" s="20" t="n">
        <v>95</v>
      </c>
      <c r="H27" s="21" t="n">
        <f aca="false">IF(AND($L27="Yes",ISERROR(SEARCH("%",$F27))),$G27*'Cover &amp; Legend'!$C$12,0)</f>
        <v>14.25</v>
      </c>
      <c r="I27" s="21" t="n">
        <f aca="false">IF(ISERROR(SEARCH("%",$F27)),$G27+$H27,0)</f>
        <v>109.25</v>
      </c>
      <c r="J27" s="21" t="n">
        <v>5000</v>
      </c>
      <c r="K27" s="9" t="s">
        <v>94</v>
      </c>
      <c r="L27" s="18" t="s">
        <v>95</v>
      </c>
      <c r="M27" s="22" t="s">
        <v>96</v>
      </c>
      <c r="N27" s="23" t="s">
        <v>151</v>
      </c>
    </row>
    <row r="28" customFormat="false" ht="30" hidden="false" customHeight="true" outlineLevel="0" collapsed="false">
      <c r="A28" s="18" t="s">
        <v>153</v>
      </c>
      <c r="B28" s="9" t="s">
        <v>40</v>
      </c>
      <c r="C28" s="9" t="s">
        <v>133</v>
      </c>
      <c r="D28" s="9" t="s">
        <v>154</v>
      </c>
      <c r="E28" s="9" t="s">
        <v>150</v>
      </c>
      <c r="F28" s="9" t="s">
        <v>104</v>
      </c>
      <c r="G28" s="20" t="n">
        <v>5</v>
      </c>
      <c r="H28" s="21" t="n">
        <f aca="false">IF(AND($L28="Yes",ISERROR(SEARCH("%",$F28))),$G28*'Cover &amp; Legend'!$C$12,0)</f>
        <v>0.75</v>
      </c>
      <c r="I28" s="21" t="n">
        <f aca="false">IF(ISERROR(SEARCH("%",$F28)),$G28+$H28,0)</f>
        <v>5.75</v>
      </c>
      <c r="J28" s="21" t="n">
        <v>750</v>
      </c>
      <c r="K28" s="9" t="s">
        <v>105</v>
      </c>
      <c r="L28" s="18" t="s">
        <v>95</v>
      </c>
      <c r="M28" s="22" t="s">
        <v>96</v>
      </c>
      <c r="N28" s="23" t="s">
        <v>114</v>
      </c>
    </row>
    <row r="29" customFormat="false" ht="30" hidden="false" customHeight="true" outlineLevel="0" collapsed="false">
      <c r="A29" s="18" t="s">
        <v>155</v>
      </c>
      <c r="B29" s="9" t="s">
        <v>40</v>
      </c>
      <c r="C29" s="9" t="s">
        <v>156</v>
      </c>
      <c r="D29" s="9" t="s">
        <v>157</v>
      </c>
      <c r="E29" s="9" t="s">
        <v>158</v>
      </c>
      <c r="F29" s="9" t="s">
        <v>93</v>
      </c>
      <c r="G29" s="20" t="n">
        <v>95</v>
      </c>
      <c r="H29" s="21" t="n">
        <f aca="false">IF(AND($L29="Yes",ISERROR(SEARCH("%",$F29))),$G29*'Cover &amp; Legend'!$C$12,0)</f>
        <v>14.25</v>
      </c>
      <c r="I29" s="21" t="n">
        <f aca="false">IF(ISERROR(SEARCH("%",$F29)),$G29+$H29,0)</f>
        <v>109.25</v>
      </c>
      <c r="J29" s="21" t="n">
        <v>7500</v>
      </c>
      <c r="K29" s="9" t="s">
        <v>94</v>
      </c>
      <c r="L29" s="18" t="s">
        <v>95</v>
      </c>
      <c r="M29" s="22" t="s">
        <v>96</v>
      </c>
      <c r="N29" s="23" t="s">
        <v>159</v>
      </c>
    </row>
    <row r="30" customFormat="false" ht="30" hidden="false" customHeight="true" outlineLevel="0" collapsed="false">
      <c r="A30" s="18" t="s">
        <v>160</v>
      </c>
      <c r="B30" s="9" t="s">
        <v>40</v>
      </c>
      <c r="C30" s="9" t="s">
        <v>156</v>
      </c>
      <c r="D30" s="9" t="s">
        <v>157</v>
      </c>
      <c r="E30" s="9" t="s">
        <v>158</v>
      </c>
      <c r="F30" s="9" t="s">
        <v>100</v>
      </c>
      <c r="G30" s="20" t="n">
        <v>95</v>
      </c>
      <c r="H30" s="21" t="n">
        <f aca="false">IF(AND($L30="Yes",ISERROR(SEARCH("%",$F30))),$G30*'Cover &amp; Legend'!$C$12,0)</f>
        <v>14.25</v>
      </c>
      <c r="I30" s="21" t="n">
        <f aca="false">IF(ISERROR(SEARCH("%",$F30)),$G30+$H30,0)</f>
        <v>109.25</v>
      </c>
      <c r="J30" s="21" t="n">
        <v>7500</v>
      </c>
      <c r="K30" s="9" t="s">
        <v>94</v>
      </c>
      <c r="L30" s="18" t="s">
        <v>95</v>
      </c>
      <c r="M30" s="22" t="s">
        <v>96</v>
      </c>
      <c r="N30" s="23" t="s">
        <v>161</v>
      </c>
    </row>
    <row r="31" customFormat="false" ht="30" hidden="false" customHeight="true" outlineLevel="0" collapsed="false">
      <c r="A31" s="18" t="s">
        <v>162</v>
      </c>
      <c r="B31" s="9" t="s">
        <v>40</v>
      </c>
      <c r="C31" s="9" t="s">
        <v>156</v>
      </c>
      <c r="D31" s="9" t="s">
        <v>163</v>
      </c>
      <c r="E31" s="9" t="s">
        <v>158</v>
      </c>
      <c r="F31" s="9" t="s">
        <v>104</v>
      </c>
      <c r="G31" s="20" t="n">
        <v>5</v>
      </c>
      <c r="H31" s="21" t="n">
        <f aca="false">IF(AND($L31="Yes",ISERROR(SEARCH("%",$F31))),$G31*'Cover &amp; Legend'!$C$12,0)</f>
        <v>0.75</v>
      </c>
      <c r="I31" s="21" t="n">
        <f aca="false">IF(ISERROR(SEARCH("%",$F31)),$G31+$H31,0)</f>
        <v>5.75</v>
      </c>
      <c r="J31" s="21" t="n">
        <v>2500</v>
      </c>
      <c r="K31" s="9" t="s">
        <v>105</v>
      </c>
      <c r="L31" s="18" t="s">
        <v>95</v>
      </c>
      <c r="M31" s="24" t="s">
        <v>111</v>
      </c>
      <c r="N31" s="23" t="s">
        <v>164</v>
      </c>
    </row>
    <row r="32" customFormat="false" ht="30" hidden="false" customHeight="true" outlineLevel="0" collapsed="false">
      <c r="A32" s="18" t="s">
        <v>165</v>
      </c>
      <c r="B32" s="9" t="s">
        <v>40</v>
      </c>
      <c r="C32" s="9" t="s">
        <v>156</v>
      </c>
      <c r="D32" s="9" t="s">
        <v>166</v>
      </c>
      <c r="E32" s="9" t="s">
        <v>158</v>
      </c>
      <c r="F32" s="9" t="s">
        <v>93</v>
      </c>
      <c r="G32" s="20" t="n">
        <v>180</v>
      </c>
      <c r="H32" s="21" t="n">
        <f aca="false">IF(AND($L32="Yes",ISERROR(SEARCH("%",$F32))),$G32*'Cover &amp; Legend'!$C$12,0)</f>
        <v>27</v>
      </c>
      <c r="I32" s="21" t="n">
        <f aca="false">IF(ISERROR(SEARCH("%",$F32)),$G32+$H32,0)</f>
        <v>207</v>
      </c>
      <c r="J32" s="21" t="n">
        <v>7500</v>
      </c>
      <c r="K32" s="9" t="s">
        <v>94</v>
      </c>
      <c r="L32" s="18" t="s">
        <v>95</v>
      </c>
      <c r="M32" s="22" t="s">
        <v>96</v>
      </c>
      <c r="N32" s="23" t="s">
        <v>167</v>
      </c>
    </row>
    <row r="33" customFormat="false" ht="30" hidden="false" customHeight="true" outlineLevel="0" collapsed="false">
      <c r="A33" s="18" t="s">
        <v>168</v>
      </c>
      <c r="B33" s="9" t="s">
        <v>40</v>
      </c>
      <c r="C33" s="9" t="s">
        <v>156</v>
      </c>
      <c r="D33" s="9" t="s">
        <v>166</v>
      </c>
      <c r="E33" s="9" t="s">
        <v>158</v>
      </c>
      <c r="F33" s="9" t="s">
        <v>100</v>
      </c>
      <c r="G33" s="20" t="n">
        <v>180</v>
      </c>
      <c r="H33" s="21" t="n">
        <f aca="false">IF(AND($L33="Yes",ISERROR(SEARCH("%",$F33))),$G33*'Cover &amp; Legend'!$C$12,0)</f>
        <v>27</v>
      </c>
      <c r="I33" s="21" t="n">
        <f aca="false">IF(ISERROR(SEARCH("%",$F33)),$G33+$H33,0)</f>
        <v>207</v>
      </c>
      <c r="J33" s="21" t="n">
        <v>7500</v>
      </c>
      <c r="K33" s="9" t="s">
        <v>94</v>
      </c>
      <c r="L33" s="18" t="s">
        <v>95</v>
      </c>
      <c r="M33" s="22" t="s">
        <v>96</v>
      </c>
      <c r="N33" s="23" t="s">
        <v>161</v>
      </c>
    </row>
    <row r="34" customFormat="false" ht="30" hidden="false" customHeight="true" outlineLevel="0" collapsed="false">
      <c r="A34" s="18" t="s">
        <v>169</v>
      </c>
      <c r="B34" s="9" t="s">
        <v>40</v>
      </c>
      <c r="C34" s="9" t="s">
        <v>156</v>
      </c>
      <c r="D34" s="9" t="s">
        <v>170</v>
      </c>
      <c r="E34" s="9" t="s">
        <v>158</v>
      </c>
      <c r="F34" s="9" t="s">
        <v>104</v>
      </c>
      <c r="G34" s="20" t="n">
        <v>9</v>
      </c>
      <c r="H34" s="21" t="n">
        <f aca="false">IF(AND($L34="Yes",ISERROR(SEARCH("%",$F34))),$G34*'Cover &amp; Legend'!$C$12,0)</f>
        <v>1.35</v>
      </c>
      <c r="I34" s="21" t="n">
        <f aca="false">IF(ISERROR(SEARCH("%",$F34)),$G34+$H34,0)</f>
        <v>10.35</v>
      </c>
      <c r="J34" s="21" t="n">
        <v>2500</v>
      </c>
      <c r="K34" s="9" t="s">
        <v>105</v>
      </c>
      <c r="L34" s="18" t="s">
        <v>95</v>
      </c>
      <c r="M34" s="24" t="s">
        <v>111</v>
      </c>
      <c r="N34" s="23" t="s">
        <v>171</v>
      </c>
    </row>
    <row r="35" customFormat="false" ht="30" hidden="false" customHeight="true" outlineLevel="0" collapsed="false">
      <c r="A35" s="18" t="s">
        <v>172</v>
      </c>
      <c r="B35" s="9" t="s">
        <v>40</v>
      </c>
      <c r="C35" s="9" t="s">
        <v>156</v>
      </c>
      <c r="D35" s="9" t="s">
        <v>173</v>
      </c>
      <c r="E35" s="9" t="s">
        <v>174</v>
      </c>
      <c r="F35" s="9" t="s">
        <v>93</v>
      </c>
      <c r="G35" s="20" t="n">
        <v>65</v>
      </c>
      <c r="H35" s="21" t="n">
        <f aca="false">IF(AND($L35="Yes",ISERROR(SEARCH("%",$F35))),$G35*'Cover &amp; Legend'!$C$12,0)</f>
        <v>9.75</v>
      </c>
      <c r="I35" s="21" t="n">
        <f aca="false">IF(ISERROR(SEARCH("%",$F35)),$G35+$H35,0)</f>
        <v>74.75</v>
      </c>
      <c r="J35" s="21" t="n">
        <v>5000</v>
      </c>
      <c r="K35" s="9" t="s">
        <v>94</v>
      </c>
      <c r="L35" s="18" t="s">
        <v>95</v>
      </c>
      <c r="M35" s="22" t="s">
        <v>96</v>
      </c>
      <c r="N35" s="23" t="s">
        <v>175</v>
      </c>
    </row>
    <row r="36" customFormat="false" ht="30" hidden="false" customHeight="true" outlineLevel="0" collapsed="false">
      <c r="A36" s="18" t="s">
        <v>176</v>
      </c>
      <c r="B36" s="9" t="s">
        <v>40</v>
      </c>
      <c r="C36" s="9" t="s">
        <v>156</v>
      </c>
      <c r="D36" s="9" t="s">
        <v>173</v>
      </c>
      <c r="E36" s="9" t="s">
        <v>174</v>
      </c>
      <c r="F36" s="9" t="s">
        <v>100</v>
      </c>
      <c r="G36" s="20" t="n">
        <v>65</v>
      </c>
      <c r="H36" s="21" t="n">
        <f aca="false">IF(AND($L36="Yes",ISERROR(SEARCH("%",$F36))),$G36*'Cover &amp; Legend'!$C$12,0)</f>
        <v>9.75</v>
      </c>
      <c r="I36" s="21" t="n">
        <f aca="false">IF(ISERROR(SEARCH("%",$F36)),$G36+$H36,0)</f>
        <v>74.75</v>
      </c>
      <c r="J36" s="21" t="n">
        <v>5000</v>
      </c>
      <c r="K36" s="9" t="s">
        <v>94</v>
      </c>
      <c r="L36" s="18" t="s">
        <v>95</v>
      </c>
      <c r="M36" s="22" t="s">
        <v>96</v>
      </c>
      <c r="N36" s="23" t="s">
        <v>177</v>
      </c>
    </row>
    <row r="37" customFormat="false" ht="30" hidden="false" customHeight="true" outlineLevel="0" collapsed="false">
      <c r="A37" s="18" t="s">
        <v>178</v>
      </c>
      <c r="B37" s="9" t="s">
        <v>40</v>
      </c>
      <c r="C37" s="9" t="s">
        <v>156</v>
      </c>
      <c r="D37" s="9" t="s">
        <v>179</v>
      </c>
      <c r="E37" s="9" t="s">
        <v>174</v>
      </c>
      <c r="F37" s="9" t="s">
        <v>104</v>
      </c>
      <c r="G37" s="20" t="n">
        <v>3.5</v>
      </c>
      <c r="H37" s="21" t="n">
        <f aca="false">IF(AND($L37="Yes",ISERROR(SEARCH("%",$F37))),$G37*'Cover &amp; Legend'!$C$12,0)</f>
        <v>0.525</v>
      </c>
      <c r="I37" s="21" t="n">
        <f aca="false">IF(ISERROR(SEARCH("%",$F37)),$G37+$H37,0)</f>
        <v>4.025</v>
      </c>
      <c r="J37" s="21" t="n">
        <v>1000</v>
      </c>
      <c r="K37" s="9" t="s">
        <v>105</v>
      </c>
      <c r="L37" s="18" t="s">
        <v>95</v>
      </c>
      <c r="M37" s="24" t="s">
        <v>111</v>
      </c>
      <c r="N37" s="23" t="s">
        <v>180</v>
      </c>
    </row>
    <row r="38" customFormat="false" ht="30" hidden="false" customHeight="true" outlineLevel="0" collapsed="false">
      <c r="A38" s="18" t="s">
        <v>181</v>
      </c>
      <c r="B38" s="9" t="s">
        <v>40</v>
      </c>
      <c r="C38" s="9" t="s">
        <v>182</v>
      </c>
      <c r="D38" s="9" t="s">
        <v>183</v>
      </c>
      <c r="E38" s="9" t="s">
        <v>184</v>
      </c>
      <c r="F38" s="9" t="s">
        <v>100</v>
      </c>
      <c r="G38" s="25" t="n">
        <v>165</v>
      </c>
      <c r="H38" s="21" t="n">
        <f aca="false">IF(AND($L38="Yes",ISERROR(SEARCH("%",$F38))),$G38*'Cover &amp; Legend'!$C$12,0)</f>
        <v>24.75</v>
      </c>
      <c r="I38" s="21" t="n">
        <f aca="false">IF(ISERROR(SEARCH("%",$F38)),$G38+$H38,0)</f>
        <v>189.75</v>
      </c>
      <c r="J38" s="21" t="n">
        <v>7500</v>
      </c>
      <c r="K38" s="9" t="s">
        <v>94</v>
      </c>
      <c r="L38" s="18" t="s">
        <v>95</v>
      </c>
      <c r="M38" s="26" t="s">
        <v>185</v>
      </c>
      <c r="N38" s="23" t="s">
        <v>186</v>
      </c>
    </row>
    <row r="39" customFormat="false" ht="30" hidden="false" customHeight="true" outlineLevel="0" collapsed="false">
      <c r="A39" s="18" t="s">
        <v>187</v>
      </c>
      <c r="B39" s="9" t="s">
        <v>40</v>
      </c>
      <c r="C39" s="9" t="s">
        <v>182</v>
      </c>
      <c r="D39" s="9" t="s">
        <v>188</v>
      </c>
      <c r="E39" s="9" t="s">
        <v>184</v>
      </c>
      <c r="F39" s="9" t="s">
        <v>104</v>
      </c>
      <c r="G39" s="25" t="n">
        <v>9</v>
      </c>
      <c r="H39" s="21" t="n">
        <f aca="false">IF(AND($L39="Yes",ISERROR(SEARCH("%",$F39))),$G39*'Cover &amp; Legend'!$C$12,0)</f>
        <v>1.35</v>
      </c>
      <c r="I39" s="21" t="n">
        <f aca="false">IF(ISERROR(SEARCH("%",$F39)),$G39+$H39,0)</f>
        <v>10.35</v>
      </c>
      <c r="J39" s="21" t="n">
        <v>1500</v>
      </c>
      <c r="K39" s="9" t="s">
        <v>105</v>
      </c>
      <c r="L39" s="18" t="s">
        <v>95</v>
      </c>
      <c r="M39" s="26" t="s">
        <v>185</v>
      </c>
      <c r="N39" s="23" t="s">
        <v>189</v>
      </c>
    </row>
    <row r="40" customFormat="false" ht="30" hidden="false" customHeight="true" outlineLevel="0" collapsed="false">
      <c r="A40" s="18" t="s">
        <v>190</v>
      </c>
      <c r="B40" s="9" t="s">
        <v>40</v>
      </c>
      <c r="C40" s="9" t="s">
        <v>182</v>
      </c>
      <c r="D40" s="9" t="s">
        <v>191</v>
      </c>
      <c r="E40" s="9" t="s">
        <v>192</v>
      </c>
      <c r="F40" s="9" t="s">
        <v>100</v>
      </c>
      <c r="G40" s="25" t="n">
        <v>240</v>
      </c>
      <c r="H40" s="21" t="n">
        <f aca="false">IF(AND($L40="Yes",ISERROR(SEARCH("%",$F40))),$G40*'Cover &amp; Legend'!$C$12,0)</f>
        <v>36</v>
      </c>
      <c r="I40" s="21" t="n">
        <f aca="false">IF(ISERROR(SEARCH("%",$F40)),$G40+$H40,0)</f>
        <v>276</v>
      </c>
      <c r="J40" s="21" t="n">
        <v>10000</v>
      </c>
      <c r="K40" s="9" t="s">
        <v>94</v>
      </c>
      <c r="L40" s="18" t="s">
        <v>95</v>
      </c>
      <c r="M40" s="26" t="s">
        <v>185</v>
      </c>
      <c r="N40" s="23" t="s">
        <v>193</v>
      </c>
    </row>
    <row r="41" customFormat="false" ht="30" hidden="false" customHeight="true" outlineLevel="0" collapsed="false">
      <c r="A41" s="18" t="s">
        <v>194</v>
      </c>
      <c r="B41" s="9" t="s">
        <v>40</v>
      </c>
      <c r="C41" s="9" t="s">
        <v>182</v>
      </c>
      <c r="D41" s="9" t="s">
        <v>195</v>
      </c>
      <c r="E41" s="9" t="s">
        <v>192</v>
      </c>
      <c r="F41" s="9" t="s">
        <v>104</v>
      </c>
      <c r="G41" s="25" t="n">
        <v>13</v>
      </c>
      <c r="H41" s="21" t="n">
        <f aca="false">IF(AND($L41="Yes",ISERROR(SEARCH("%",$F41))),$G41*'Cover &amp; Legend'!$C$12,0)</f>
        <v>1.95</v>
      </c>
      <c r="I41" s="21" t="n">
        <f aca="false">IF(ISERROR(SEARCH("%",$F41)),$G41+$H41,0)</f>
        <v>14.95</v>
      </c>
      <c r="J41" s="21" t="n">
        <v>2000</v>
      </c>
      <c r="K41" s="9" t="s">
        <v>105</v>
      </c>
      <c r="L41" s="18" t="s">
        <v>95</v>
      </c>
      <c r="M41" s="26" t="s">
        <v>185</v>
      </c>
      <c r="N41" s="23" t="s">
        <v>189</v>
      </c>
    </row>
    <row r="42" customFormat="false" ht="30" hidden="false" customHeight="true" outlineLevel="0" collapsed="false">
      <c r="A42" s="18" t="s">
        <v>196</v>
      </c>
      <c r="B42" s="9" t="s">
        <v>40</v>
      </c>
      <c r="C42" s="9" t="s">
        <v>182</v>
      </c>
      <c r="D42" s="9" t="s">
        <v>197</v>
      </c>
      <c r="E42" s="9" t="s">
        <v>198</v>
      </c>
      <c r="F42" s="9" t="s">
        <v>100</v>
      </c>
      <c r="G42" s="25" t="n">
        <v>320</v>
      </c>
      <c r="H42" s="21" t="n">
        <f aca="false">IF(AND($L42="Yes",ISERROR(SEARCH("%",$F42))),$G42*'Cover &amp; Legend'!$C$12,0)</f>
        <v>48</v>
      </c>
      <c r="I42" s="21" t="n">
        <f aca="false">IF(ISERROR(SEARCH("%",$F42)),$G42+$H42,0)</f>
        <v>368</v>
      </c>
      <c r="J42" s="21" t="n">
        <v>12000</v>
      </c>
      <c r="K42" s="9" t="s">
        <v>94</v>
      </c>
      <c r="L42" s="18" t="s">
        <v>95</v>
      </c>
      <c r="M42" s="26" t="s">
        <v>185</v>
      </c>
      <c r="N42" s="23" t="s">
        <v>199</v>
      </c>
    </row>
    <row r="43" customFormat="false" ht="30" hidden="false" customHeight="true" outlineLevel="0" collapsed="false">
      <c r="A43" s="18" t="s">
        <v>200</v>
      </c>
      <c r="B43" s="9" t="s">
        <v>40</v>
      </c>
      <c r="C43" s="9" t="s">
        <v>201</v>
      </c>
      <c r="D43" s="9" t="s">
        <v>202</v>
      </c>
      <c r="E43" s="9" t="s">
        <v>203</v>
      </c>
      <c r="F43" s="9" t="s">
        <v>93</v>
      </c>
      <c r="G43" s="25" t="n">
        <v>20</v>
      </c>
      <c r="H43" s="21" t="n">
        <f aca="false">IF(AND($L43="Yes",ISERROR(SEARCH("%",$F43))),$G43*'Cover &amp; Legend'!$C$12,0)</f>
        <v>3</v>
      </c>
      <c r="I43" s="21" t="n">
        <f aca="false">IF(ISERROR(SEARCH("%",$F43)),$G43+$H43,0)</f>
        <v>23</v>
      </c>
      <c r="J43" s="21" t="n">
        <v>2000</v>
      </c>
      <c r="K43" s="9" t="s">
        <v>94</v>
      </c>
      <c r="L43" s="18" t="s">
        <v>95</v>
      </c>
      <c r="M43" s="26" t="s">
        <v>185</v>
      </c>
      <c r="N43" s="23" t="s">
        <v>204</v>
      </c>
    </row>
    <row r="44" customFormat="false" ht="30" hidden="false" customHeight="true" outlineLevel="0" collapsed="false">
      <c r="A44" s="18" t="s">
        <v>205</v>
      </c>
      <c r="B44" s="9" t="s">
        <v>40</v>
      </c>
      <c r="C44" s="9" t="s">
        <v>201</v>
      </c>
      <c r="D44" s="9" t="s">
        <v>206</v>
      </c>
      <c r="E44" s="9" t="s">
        <v>207</v>
      </c>
      <c r="F44" s="9" t="s">
        <v>93</v>
      </c>
      <c r="G44" s="25" t="n">
        <v>32</v>
      </c>
      <c r="H44" s="21" t="n">
        <f aca="false">IF(AND($L44="Yes",ISERROR(SEARCH("%",$F44))),$G44*'Cover &amp; Legend'!$C$12,0)</f>
        <v>4.8</v>
      </c>
      <c r="I44" s="21" t="n">
        <f aca="false">IF(ISERROR(SEARCH("%",$F44)),$G44+$H44,0)</f>
        <v>36.8</v>
      </c>
      <c r="J44" s="21" t="n">
        <v>2000</v>
      </c>
      <c r="K44" s="9" t="s">
        <v>94</v>
      </c>
      <c r="L44" s="18" t="s">
        <v>95</v>
      </c>
      <c r="M44" s="26" t="s">
        <v>185</v>
      </c>
      <c r="N44" s="23" t="s">
        <v>208</v>
      </c>
    </row>
    <row r="45" customFormat="false" ht="30" hidden="false" customHeight="true" outlineLevel="0" collapsed="false">
      <c r="A45" s="18" t="s">
        <v>209</v>
      </c>
      <c r="B45" s="9" t="s">
        <v>40</v>
      </c>
      <c r="C45" s="9" t="s">
        <v>201</v>
      </c>
      <c r="D45" s="9" t="s">
        <v>210</v>
      </c>
      <c r="E45" s="9" t="s">
        <v>211</v>
      </c>
      <c r="F45" s="9" t="s">
        <v>100</v>
      </c>
      <c r="G45" s="25" t="n">
        <v>130</v>
      </c>
      <c r="H45" s="21" t="n">
        <f aca="false">IF(AND($L45="Yes",ISERROR(SEARCH("%",$F45))),$G45*'Cover &amp; Legend'!$C$12,0)</f>
        <v>19.5</v>
      </c>
      <c r="I45" s="21" t="n">
        <f aca="false">IF(ISERROR(SEARCH("%",$F45)),$G45+$H45,0)</f>
        <v>149.5</v>
      </c>
      <c r="J45" s="21" t="n">
        <v>10000</v>
      </c>
      <c r="K45" s="9" t="s">
        <v>94</v>
      </c>
      <c r="L45" s="18" t="s">
        <v>95</v>
      </c>
      <c r="M45" s="26" t="s">
        <v>185</v>
      </c>
      <c r="N45" s="23" t="s">
        <v>212</v>
      </c>
    </row>
    <row r="46" customFormat="false" ht="30" hidden="false" customHeight="true" outlineLevel="0" collapsed="false">
      <c r="A46" s="18" t="s">
        <v>213</v>
      </c>
      <c r="B46" s="9" t="s">
        <v>40</v>
      </c>
      <c r="C46" s="9" t="s">
        <v>201</v>
      </c>
      <c r="D46" s="9" t="s">
        <v>214</v>
      </c>
      <c r="E46" s="9" t="s">
        <v>215</v>
      </c>
      <c r="F46" s="9" t="s">
        <v>100</v>
      </c>
      <c r="G46" s="25" t="n">
        <v>165</v>
      </c>
      <c r="H46" s="21" t="n">
        <f aca="false">IF(AND($L46="Yes",ISERROR(SEARCH("%",$F46))),$G46*'Cover &amp; Legend'!$C$12,0)</f>
        <v>24.75</v>
      </c>
      <c r="I46" s="21" t="n">
        <f aca="false">IF(ISERROR(SEARCH("%",$F46)),$G46+$H46,0)</f>
        <v>189.75</v>
      </c>
      <c r="J46" s="21" t="n">
        <v>7500</v>
      </c>
      <c r="K46" s="9" t="s">
        <v>94</v>
      </c>
      <c r="L46" s="18" t="s">
        <v>95</v>
      </c>
      <c r="M46" s="26" t="s">
        <v>185</v>
      </c>
      <c r="N46" s="23" t="s">
        <v>216</v>
      </c>
    </row>
    <row r="47" customFormat="false" ht="30" hidden="false" customHeight="true" outlineLevel="0" collapsed="false">
      <c r="A47" s="18" t="s">
        <v>217</v>
      </c>
      <c r="B47" s="9" t="s">
        <v>40</v>
      </c>
      <c r="C47" s="9" t="s">
        <v>201</v>
      </c>
      <c r="D47" s="9" t="s">
        <v>218</v>
      </c>
      <c r="E47" s="9" t="s">
        <v>219</v>
      </c>
      <c r="F47" s="9" t="s">
        <v>100</v>
      </c>
      <c r="G47" s="25" t="n">
        <v>75</v>
      </c>
      <c r="H47" s="21" t="n">
        <f aca="false">IF(AND($L47="Yes",ISERROR(SEARCH("%",$F47))),$G47*'Cover &amp; Legend'!$C$12,0)</f>
        <v>11.25</v>
      </c>
      <c r="I47" s="21" t="n">
        <f aca="false">IF(ISERROR(SEARCH("%",$F47)),$G47+$H47,0)</f>
        <v>86.25</v>
      </c>
      <c r="J47" s="21" t="n">
        <v>1000</v>
      </c>
      <c r="K47" s="9" t="s">
        <v>94</v>
      </c>
      <c r="L47" s="18" t="s">
        <v>95</v>
      </c>
      <c r="M47" s="26" t="s">
        <v>185</v>
      </c>
      <c r="N47" s="23" t="s">
        <v>220</v>
      </c>
    </row>
    <row r="48" customFormat="false" ht="30" hidden="false" customHeight="true" outlineLevel="0" collapsed="false">
      <c r="A48" s="18" t="s">
        <v>221</v>
      </c>
      <c r="B48" s="9" t="s">
        <v>40</v>
      </c>
      <c r="C48" s="9" t="s">
        <v>201</v>
      </c>
      <c r="D48" s="9" t="s">
        <v>222</v>
      </c>
      <c r="E48" s="9" t="s">
        <v>223</v>
      </c>
      <c r="F48" s="9" t="s">
        <v>93</v>
      </c>
      <c r="G48" s="25" t="n">
        <v>60</v>
      </c>
      <c r="H48" s="21" t="n">
        <f aca="false">IF(AND($L48="Yes",ISERROR(SEARCH("%",$F48))),$G48*'Cover &amp; Legend'!$C$12,0)</f>
        <v>9</v>
      </c>
      <c r="I48" s="21" t="n">
        <f aca="false">IF(ISERROR(SEARCH("%",$F48)),$G48+$H48,0)</f>
        <v>69</v>
      </c>
      <c r="J48" s="21" t="n">
        <v>3000</v>
      </c>
      <c r="K48" s="9" t="s">
        <v>94</v>
      </c>
      <c r="L48" s="18" t="s">
        <v>95</v>
      </c>
      <c r="M48" s="26" t="s">
        <v>185</v>
      </c>
      <c r="N48" s="23" t="s">
        <v>224</v>
      </c>
    </row>
    <row r="49" customFormat="false" ht="30" hidden="false" customHeight="true" outlineLevel="0" collapsed="false">
      <c r="A49" s="18" t="s">
        <v>225</v>
      </c>
      <c r="B49" s="9" t="s">
        <v>40</v>
      </c>
      <c r="C49" s="9" t="s">
        <v>201</v>
      </c>
      <c r="D49" s="9" t="s">
        <v>226</v>
      </c>
      <c r="E49" s="9" t="s">
        <v>227</v>
      </c>
      <c r="F49" s="9" t="s">
        <v>93</v>
      </c>
      <c r="G49" s="25" t="n">
        <v>30</v>
      </c>
      <c r="H49" s="21" t="n">
        <f aca="false">IF(AND($L49="Yes",ISERROR(SEARCH("%",$F49))),$G49*'Cover &amp; Legend'!$C$12,0)</f>
        <v>4.5</v>
      </c>
      <c r="I49" s="21" t="n">
        <f aca="false">IF(ISERROR(SEARCH("%",$F49)),$G49+$H49,0)</f>
        <v>34.5</v>
      </c>
      <c r="J49" s="21" t="n">
        <v>1500</v>
      </c>
      <c r="K49" s="9" t="s">
        <v>94</v>
      </c>
      <c r="L49" s="18" t="s">
        <v>95</v>
      </c>
      <c r="M49" s="26" t="s">
        <v>185</v>
      </c>
      <c r="N49" s="23" t="s">
        <v>228</v>
      </c>
    </row>
    <row r="50" customFormat="false" ht="30" hidden="false" customHeight="true" outlineLevel="0" collapsed="false">
      <c r="A50" s="18" t="s">
        <v>229</v>
      </c>
      <c r="B50" s="9" t="s">
        <v>40</v>
      </c>
      <c r="C50" s="9" t="s">
        <v>201</v>
      </c>
      <c r="D50" s="9" t="s">
        <v>230</v>
      </c>
      <c r="E50" s="9" t="s">
        <v>231</v>
      </c>
      <c r="F50" s="9" t="s">
        <v>232</v>
      </c>
      <c r="G50" s="25" t="n">
        <v>8</v>
      </c>
      <c r="H50" s="21" t="n">
        <f aca="false">IF(AND($L50="Yes",ISERROR(SEARCH("%",$F50))),$G50*'Cover &amp; Legend'!$C$12,0)</f>
        <v>1.2</v>
      </c>
      <c r="I50" s="21" t="n">
        <f aca="false">IF(ISERROR(SEARCH("%",$F50)),$G50+$H50,0)</f>
        <v>9.2</v>
      </c>
      <c r="J50" s="21" t="n">
        <v>1500</v>
      </c>
      <c r="K50" s="9" t="s">
        <v>94</v>
      </c>
      <c r="L50" s="18" t="s">
        <v>95</v>
      </c>
      <c r="M50" s="26" t="s">
        <v>185</v>
      </c>
      <c r="N50" s="23" t="s">
        <v>233</v>
      </c>
    </row>
    <row r="51" customFormat="false" ht="30" hidden="false" customHeight="true" outlineLevel="0" collapsed="false">
      <c r="A51" s="18" t="s">
        <v>234</v>
      </c>
      <c r="B51" s="9" t="s">
        <v>40</v>
      </c>
      <c r="C51" s="9" t="s">
        <v>201</v>
      </c>
      <c r="D51" s="9" t="s">
        <v>235</v>
      </c>
      <c r="E51" s="9" t="s">
        <v>236</v>
      </c>
      <c r="F51" s="9" t="s">
        <v>237</v>
      </c>
      <c r="G51" s="25" t="n">
        <v>4</v>
      </c>
      <c r="H51" s="21" t="n">
        <f aca="false">IF(AND($L51="Yes",ISERROR(SEARCH("%",$F51))),$G51*'Cover &amp; Legend'!$C$12,0)</f>
        <v>0.6</v>
      </c>
      <c r="I51" s="21" t="n">
        <f aca="false">IF(ISERROR(SEARCH("%",$F51)),$G51+$H51,0)</f>
        <v>4.6</v>
      </c>
      <c r="J51" s="21" t="n">
        <v>1500</v>
      </c>
      <c r="K51" s="9" t="s">
        <v>94</v>
      </c>
      <c r="L51" s="18" t="s">
        <v>95</v>
      </c>
      <c r="M51" s="26" t="s">
        <v>185</v>
      </c>
      <c r="N51" s="23" t="s">
        <v>238</v>
      </c>
    </row>
    <row r="52" customFormat="false" ht="30" hidden="false" customHeight="true" outlineLevel="0" collapsed="false">
      <c r="A52" s="18" t="s">
        <v>239</v>
      </c>
      <c r="B52" s="9" t="s">
        <v>40</v>
      </c>
      <c r="C52" s="9" t="s">
        <v>201</v>
      </c>
      <c r="D52" s="9" t="s">
        <v>240</v>
      </c>
      <c r="E52" s="9" t="s">
        <v>241</v>
      </c>
      <c r="F52" s="9" t="s">
        <v>93</v>
      </c>
      <c r="G52" s="25" t="n">
        <v>55</v>
      </c>
      <c r="H52" s="21" t="n">
        <f aca="false">IF(AND($L52="Yes",ISERROR(SEARCH("%",$F52))),$G52*'Cover &amp; Legend'!$C$12,0)</f>
        <v>8.25</v>
      </c>
      <c r="I52" s="21" t="n">
        <f aca="false">IF(ISERROR(SEARCH("%",$F52)),$G52+$H52,0)</f>
        <v>63.25</v>
      </c>
      <c r="J52" s="21" t="n">
        <v>25000</v>
      </c>
      <c r="K52" s="9" t="s">
        <v>94</v>
      </c>
      <c r="L52" s="18" t="s">
        <v>95</v>
      </c>
      <c r="M52" s="26" t="s">
        <v>185</v>
      </c>
      <c r="N52" s="23" t="s">
        <v>242</v>
      </c>
    </row>
    <row r="53" customFormat="false" ht="30" hidden="false" customHeight="true" outlineLevel="0" collapsed="false">
      <c r="A53" s="18" t="s">
        <v>243</v>
      </c>
      <c r="B53" s="9" t="s">
        <v>40</v>
      </c>
      <c r="C53" s="9" t="s">
        <v>201</v>
      </c>
      <c r="D53" s="9" t="s">
        <v>244</v>
      </c>
      <c r="E53" s="9" t="s">
        <v>241</v>
      </c>
      <c r="F53" s="9" t="s">
        <v>93</v>
      </c>
      <c r="G53" s="25" t="n">
        <v>120</v>
      </c>
      <c r="H53" s="21" t="n">
        <f aca="false">IF(AND($L53="Yes",ISERROR(SEARCH("%",$F53))),$G53*'Cover &amp; Legend'!$C$12,0)</f>
        <v>18</v>
      </c>
      <c r="I53" s="21" t="n">
        <f aca="false">IF(ISERROR(SEARCH("%",$F53)),$G53+$H53,0)</f>
        <v>138</v>
      </c>
      <c r="J53" s="21" t="n">
        <v>3000</v>
      </c>
      <c r="K53" s="9" t="s">
        <v>94</v>
      </c>
      <c r="L53" s="18" t="s">
        <v>95</v>
      </c>
      <c r="M53" s="26" t="s">
        <v>185</v>
      </c>
      <c r="N53" s="23" t="s">
        <v>245</v>
      </c>
    </row>
    <row r="54" customFormat="false" ht="30" hidden="false" customHeight="true" outlineLevel="0" collapsed="false">
      <c r="A54" s="18" t="s">
        <v>246</v>
      </c>
      <c r="B54" s="9" t="s">
        <v>40</v>
      </c>
      <c r="C54" s="9" t="s">
        <v>201</v>
      </c>
      <c r="D54" s="9" t="s">
        <v>247</v>
      </c>
      <c r="E54" s="9" t="s">
        <v>248</v>
      </c>
      <c r="F54" s="9" t="s">
        <v>249</v>
      </c>
      <c r="G54" s="25" t="n">
        <v>250</v>
      </c>
      <c r="H54" s="21" t="n">
        <f aca="false">IF(AND($L54="Yes",ISERROR(SEARCH("%",$F54))),$G54*'Cover &amp; Legend'!$C$12,0)</f>
        <v>37.5</v>
      </c>
      <c r="I54" s="21" t="n">
        <f aca="false">IF(ISERROR(SEARCH("%",$F54)),$G54+$H54,0)</f>
        <v>287.5</v>
      </c>
      <c r="J54" s="21" t="n">
        <v>750</v>
      </c>
      <c r="K54" s="9" t="s">
        <v>105</v>
      </c>
      <c r="L54" s="18" t="s">
        <v>95</v>
      </c>
      <c r="M54" s="26" t="s">
        <v>185</v>
      </c>
      <c r="N54" s="23" t="s">
        <v>250</v>
      </c>
    </row>
    <row r="55" customFormat="false" ht="30" hidden="false" customHeight="true" outlineLevel="0" collapsed="false">
      <c r="A55" s="18" t="s">
        <v>251</v>
      </c>
      <c r="B55" s="9" t="s">
        <v>40</v>
      </c>
      <c r="C55" s="9" t="s">
        <v>252</v>
      </c>
      <c r="D55" s="9" t="s">
        <v>253</v>
      </c>
      <c r="E55" s="9" t="s">
        <v>219</v>
      </c>
      <c r="F55" s="9" t="s">
        <v>254</v>
      </c>
      <c r="G55" s="27" t="n">
        <v>0.25</v>
      </c>
      <c r="H55" s="21" t="n">
        <f aca="false">IF(AND($L55="Yes",ISERROR(SEARCH("%",$F55))),$G55*'Cover &amp; Legend'!$C$12,0)</f>
        <v>0</v>
      </c>
      <c r="I55" s="21" t="n">
        <f aca="false">IF(ISERROR(SEARCH("%",$F55)),$G55+$H55,0)</f>
        <v>0</v>
      </c>
      <c r="J55" s="21" t="n">
        <v>0</v>
      </c>
      <c r="K55" s="9" t="s">
        <v>94</v>
      </c>
      <c r="L55" s="18" t="s">
        <v>95</v>
      </c>
      <c r="M55" s="26" t="s">
        <v>185</v>
      </c>
      <c r="N55" s="23" t="s">
        <v>255</v>
      </c>
    </row>
    <row r="56" customFormat="false" ht="30" hidden="false" customHeight="true" outlineLevel="0" collapsed="false">
      <c r="A56" s="18" t="s">
        <v>256</v>
      </c>
      <c r="B56" s="9" t="s">
        <v>40</v>
      </c>
      <c r="C56" s="9" t="s">
        <v>252</v>
      </c>
      <c r="D56" s="9" t="s">
        <v>257</v>
      </c>
      <c r="E56" s="9" t="s">
        <v>219</v>
      </c>
      <c r="F56" s="9" t="s">
        <v>254</v>
      </c>
      <c r="G56" s="27" t="n">
        <v>0.5</v>
      </c>
      <c r="H56" s="21" t="n">
        <f aca="false">IF(AND($L56="Yes",ISERROR(SEARCH("%",$F56))),$G56*'Cover &amp; Legend'!$C$12,0)</f>
        <v>0</v>
      </c>
      <c r="I56" s="21" t="n">
        <f aca="false">IF(ISERROR(SEARCH("%",$F56)),$G56+$H56,0)</f>
        <v>0</v>
      </c>
      <c r="J56" s="21" t="n">
        <v>0</v>
      </c>
      <c r="K56" s="9" t="s">
        <v>94</v>
      </c>
      <c r="L56" s="18" t="s">
        <v>95</v>
      </c>
      <c r="M56" s="26" t="s">
        <v>185</v>
      </c>
      <c r="N56" s="23" t="s">
        <v>258</v>
      </c>
    </row>
    <row r="57" customFormat="false" ht="30" hidden="false" customHeight="true" outlineLevel="0" collapsed="false">
      <c r="A57" s="18" t="s">
        <v>259</v>
      </c>
      <c r="B57" s="9" t="s">
        <v>40</v>
      </c>
      <c r="C57" s="9" t="s">
        <v>252</v>
      </c>
      <c r="D57" s="9" t="s">
        <v>260</v>
      </c>
      <c r="E57" s="9" t="s">
        <v>219</v>
      </c>
      <c r="F57" s="9" t="s">
        <v>254</v>
      </c>
      <c r="G57" s="27" t="n">
        <v>0.15</v>
      </c>
      <c r="H57" s="21" t="n">
        <f aca="false">IF(AND($L57="Yes",ISERROR(SEARCH("%",$F57))),$G57*'Cover &amp; Legend'!$C$12,0)</f>
        <v>0</v>
      </c>
      <c r="I57" s="21" t="n">
        <f aca="false">IF(ISERROR(SEARCH("%",$F57)),$G57+$H57,0)</f>
        <v>0</v>
      </c>
      <c r="J57" s="21" t="n">
        <v>0</v>
      </c>
      <c r="K57" s="9" t="s">
        <v>94</v>
      </c>
      <c r="L57" s="18" t="s">
        <v>95</v>
      </c>
      <c r="M57" s="26" t="s">
        <v>185</v>
      </c>
      <c r="N57" s="23" t="s">
        <v>261</v>
      </c>
    </row>
    <row r="58" customFormat="false" ht="30" hidden="false" customHeight="true" outlineLevel="0" collapsed="false">
      <c r="A58" s="18" t="s">
        <v>262</v>
      </c>
      <c r="B58" s="9" t="s">
        <v>40</v>
      </c>
      <c r="C58" s="9" t="s">
        <v>252</v>
      </c>
      <c r="D58" s="9" t="s">
        <v>263</v>
      </c>
      <c r="E58" s="9" t="s">
        <v>219</v>
      </c>
      <c r="F58" s="9" t="s">
        <v>254</v>
      </c>
      <c r="G58" s="27" t="n">
        <v>0.3</v>
      </c>
      <c r="H58" s="21" t="n">
        <f aca="false">IF(AND($L58="Yes",ISERROR(SEARCH("%",$F58))),$G58*'Cover &amp; Legend'!$C$12,0)</f>
        <v>0</v>
      </c>
      <c r="I58" s="21" t="n">
        <f aca="false">IF(ISERROR(SEARCH("%",$F58)),$G58+$H58,0)</f>
        <v>0</v>
      </c>
      <c r="J58" s="21" t="n">
        <v>0</v>
      </c>
      <c r="K58" s="9" t="s">
        <v>94</v>
      </c>
      <c r="L58" s="18" t="s">
        <v>95</v>
      </c>
      <c r="M58" s="26" t="s">
        <v>185</v>
      </c>
      <c r="N58" s="23" t="s">
        <v>264</v>
      </c>
    </row>
    <row r="59" customFormat="false" ht="30" hidden="false" customHeight="true" outlineLevel="0" collapsed="false">
      <c r="A59" s="18" t="s">
        <v>265</v>
      </c>
      <c r="B59" s="9" t="s">
        <v>40</v>
      </c>
      <c r="C59" s="9" t="s">
        <v>252</v>
      </c>
      <c r="D59" s="9" t="s">
        <v>266</v>
      </c>
      <c r="E59" s="9" t="s">
        <v>219</v>
      </c>
      <c r="F59" s="9" t="s">
        <v>267</v>
      </c>
      <c r="G59" s="25" t="n">
        <v>2500</v>
      </c>
      <c r="H59" s="21" t="n">
        <f aca="false">IF(AND($L59="Yes",ISERROR(SEARCH("%",$F59))),$G59*'Cover &amp; Legend'!$C$12,0)</f>
        <v>375</v>
      </c>
      <c r="I59" s="21" t="n">
        <f aca="false">IF(ISERROR(SEARCH("%",$F59)),$G59+$H59,0)</f>
        <v>2875</v>
      </c>
      <c r="J59" s="21" t="n">
        <v>2500</v>
      </c>
      <c r="K59" s="9" t="s">
        <v>94</v>
      </c>
      <c r="L59" s="18" t="s">
        <v>95</v>
      </c>
      <c r="M59" s="26" t="s">
        <v>185</v>
      </c>
      <c r="N59" s="23" t="s">
        <v>268</v>
      </c>
    </row>
    <row r="60" customFormat="false" ht="30" hidden="false" customHeight="true" outlineLevel="0" collapsed="false">
      <c r="A60" s="18" t="s">
        <v>269</v>
      </c>
      <c r="B60" s="19" t="s">
        <v>42</v>
      </c>
      <c r="C60" s="9" t="s">
        <v>270</v>
      </c>
      <c r="D60" s="9" t="s">
        <v>271</v>
      </c>
      <c r="E60" s="9" t="s">
        <v>272</v>
      </c>
      <c r="F60" s="9" t="s">
        <v>273</v>
      </c>
      <c r="G60" s="20" t="n">
        <v>10</v>
      </c>
      <c r="H60" s="21" t="n">
        <f aca="false">IF(AND($L60="Yes",ISERROR(SEARCH("%",$F60))),$G60*'Cover &amp; Legend'!$C$12,0)</f>
        <v>1.5</v>
      </c>
      <c r="I60" s="21" t="n">
        <f aca="false">IF(ISERROR(SEARCH("%",$F60)),$G60+$H60,0)</f>
        <v>11.5</v>
      </c>
      <c r="J60" s="21" t="n">
        <v>250</v>
      </c>
      <c r="K60" s="9" t="s">
        <v>274</v>
      </c>
      <c r="L60" s="18" t="s">
        <v>95</v>
      </c>
      <c r="M60" s="22" t="s">
        <v>96</v>
      </c>
      <c r="N60" s="23" t="s">
        <v>275</v>
      </c>
    </row>
    <row r="61" customFormat="false" ht="30" hidden="false" customHeight="true" outlineLevel="0" collapsed="false">
      <c r="A61" s="18" t="s">
        <v>276</v>
      </c>
      <c r="B61" s="9" t="s">
        <v>42</v>
      </c>
      <c r="C61" s="9" t="s">
        <v>270</v>
      </c>
      <c r="D61" s="9" t="s">
        <v>277</v>
      </c>
      <c r="E61" s="9" t="s">
        <v>272</v>
      </c>
      <c r="F61" s="9" t="s">
        <v>278</v>
      </c>
      <c r="G61" s="20" t="n">
        <v>400</v>
      </c>
      <c r="H61" s="21" t="n">
        <f aca="false">IF(AND($L61="Yes",ISERROR(SEARCH("%",$F61))),$G61*'Cover &amp; Legend'!$C$12,0)</f>
        <v>60</v>
      </c>
      <c r="I61" s="21" t="n">
        <f aca="false">IF(ISERROR(SEARCH("%",$F61)),$G61+$H61,0)</f>
        <v>460</v>
      </c>
      <c r="J61" s="21" t="n">
        <v>400</v>
      </c>
      <c r="K61" s="9" t="s">
        <v>274</v>
      </c>
      <c r="L61" s="18" t="s">
        <v>95</v>
      </c>
      <c r="M61" s="22" t="s">
        <v>96</v>
      </c>
      <c r="N61" s="23" t="s">
        <v>279</v>
      </c>
    </row>
    <row r="62" customFormat="false" ht="30" hidden="false" customHeight="true" outlineLevel="0" collapsed="false">
      <c r="A62" s="18" t="s">
        <v>280</v>
      </c>
      <c r="B62" s="9" t="s">
        <v>42</v>
      </c>
      <c r="C62" s="9" t="s">
        <v>270</v>
      </c>
      <c r="D62" s="9" t="s">
        <v>281</v>
      </c>
      <c r="E62" s="9" t="s">
        <v>272</v>
      </c>
      <c r="F62" s="9" t="s">
        <v>278</v>
      </c>
      <c r="G62" s="20" t="n">
        <v>550</v>
      </c>
      <c r="H62" s="21" t="n">
        <f aca="false">IF(AND($L62="Yes",ISERROR(SEARCH("%",$F62))),$G62*'Cover &amp; Legend'!$C$12,0)</f>
        <v>82.5</v>
      </c>
      <c r="I62" s="21" t="n">
        <f aca="false">IF(ISERROR(SEARCH("%",$F62)),$G62+$H62,0)</f>
        <v>632.5</v>
      </c>
      <c r="J62" s="21" t="n">
        <v>550</v>
      </c>
      <c r="K62" s="9" t="s">
        <v>274</v>
      </c>
      <c r="L62" s="18" t="s">
        <v>95</v>
      </c>
      <c r="M62" s="22" t="s">
        <v>96</v>
      </c>
      <c r="N62" s="23" t="s">
        <v>282</v>
      </c>
    </row>
    <row r="63" customFormat="false" ht="30" hidden="false" customHeight="true" outlineLevel="0" collapsed="false">
      <c r="A63" s="18" t="s">
        <v>283</v>
      </c>
      <c r="B63" s="9" t="s">
        <v>42</v>
      </c>
      <c r="C63" s="9" t="s">
        <v>270</v>
      </c>
      <c r="D63" s="9" t="s">
        <v>284</v>
      </c>
      <c r="E63" s="9" t="s">
        <v>272</v>
      </c>
      <c r="F63" s="9" t="s">
        <v>278</v>
      </c>
      <c r="G63" s="25" t="n">
        <v>650</v>
      </c>
      <c r="H63" s="21" t="n">
        <f aca="false">IF(AND($L63="Yes",ISERROR(SEARCH("%",$F63))),$G63*'Cover &amp; Legend'!$C$12,0)</f>
        <v>97.5</v>
      </c>
      <c r="I63" s="21" t="n">
        <f aca="false">IF(ISERROR(SEARCH("%",$F63)),$G63+$H63,0)</f>
        <v>747.5</v>
      </c>
      <c r="J63" s="21" t="n">
        <v>650</v>
      </c>
      <c r="K63" s="9" t="s">
        <v>274</v>
      </c>
      <c r="L63" s="18" t="s">
        <v>95</v>
      </c>
      <c r="M63" s="26" t="s">
        <v>185</v>
      </c>
      <c r="N63" s="23" t="s">
        <v>285</v>
      </c>
    </row>
    <row r="64" customFormat="false" ht="30" hidden="false" customHeight="true" outlineLevel="0" collapsed="false">
      <c r="A64" s="18" t="s">
        <v>286</v>
      </c>
      <c r="B64" s="9" t="s">
        <v>42</v>
      </c>
      <c r="C64" s="9" t="s">
        <v>287</v>
      </c>
      <c r="D64" s="9" t="s">
        <v>288</v>
      </c>
      <c r="E64" s="9" t="s">
        <v>289</v>
      </c>
      <c r="F64" s="9" t="s">
        <v>278</v>
      </c>
      <c r="G64" s="20" t="n">
        <v>900</v>
      </c>
      <c r="H64" s="21" t="n">
        <f aca="false">IF(AND($L64="Yes",ISERROR(SEARCH("%",$F64))),$G64*'Cover &amp; Legend'!$C$12,0)</f>
        <v>135</v>
      </c>
      <c r="I64" s="21" t="n">
        <f aca="false">IF(ISERROR(SEARCH("%",$F64)),$G64+$H64,0)</f>
        <v>1035</v>
      </c>
      <c r="J64" s="21" t="n">
        <v>900</v>
      </c>
      <c r="K64" s="9" t="s">
        <v>274</v>
      </c>
      <c r="L64" s="18" t="s">
        <v>95</v>
      </c>
      <c r="M64" s="22" t="s">
        <v>96</v>
      </c>
      <c r="N64" s="23" t="s">
        <v>290</v>
      </c>
    </row>
    <row r="65" customFormat="false" ht="30" hidden="false" customHeight="true" outlineLevel="0" collapsed="false">
      <c r="A65" s="18" t="s">
        <v>291</v>
      </c>
      <c r="B65" s="9" t="s">
        <v>42</v>
      </c>
      <c r="C65" s="9" t="s">
        <v>287</v>
      </c>
      <c r="D65" s="9" t="s">
        <v>292</v>
      </c>
      <c r="E65" s="9" t="s">
        <v>289</v>
      </c>
      <c r="F65" s="9" t="s">
        <v>278</v>
      </c>
      <c r="G65" s="20" t="n">
        <v>1200</v>
      </c>
      <c r="H65" s="21" t="n">
        <f aca="false">IF(AND($L65="Yes",ISERROR(SEARCH("%",$F65))),$G65*'Cover &amp; Legend'!$C$12,0)</f>
        <v>180</v>
      </c>
      <c r="I65" s="21" t="n">
        <f aca="false">IF(ISERROR(SEARCH("%",$F65)),$G65+$H65,0)</f>
        <v>1380</v>
      </c>
      <c r="J65" s="21" t="n">
        <v>1200</v>
      </c>
      <c r="K65" s="9" t="s">
        <v>274</v>
      </c>
      <c r="L65" s="18" t="s">
        <v>95</v>
      </c>
      <c r="M65" s="22" t="s">
        <v>96</v>
      </c>
      <c r="N65" s="23" t="s">
        <v>293</v>
      </c>
    </row>
    <row r="66" customFormat="false" ht="30" hidden="false" customHeight="true" outlineLevel="0" collapsed="false">
      <c r="A66" s="18" t="s">
        <v>294</v>
      </c>
      <c r="B66" s="9" t="s">
        <v>42</v>
      </c>
      <c r="C66" s="9" t="s">
        <v>287</v>
      </c>
      <c r="D66" s="9" t="s">
        <v>295</v>
      </c>
      <c r="E66" s="9" t="s">
        <v>289</v>
      </c>
      <c r="F66" s="9" t="s">
        <v>278</v>
      </c>
      <c r="G66" s="25" t="n">
        <v>1400</v>
      </c>
      <c r="H66" s="21" t="n">
        <f aca="false">IF(AND($L66="Yes",ISERROR(SEARCH("%",$F66))),$G66*'Cover &amp; Legend'!$C$12,0)</f>
        <v>210</v>
      </c>
      <c r="I66" s="21" t="n">
        <f aca="false">IF(ISERROR(SEARCH("%",$F66)),$G66+$H66,0)</f>
        <v>1610</v>
      </c>
      <c r="J66" s="21" t="n">
        <v>1400</v>
      </c>
      <c r="K66" s="9" t="s">
        <v>274</v>
      </c>
      <c r="L66" s="18" t="s">
        <v>95</v>
      </c>
      <c r="M66" s="26" t="s">
        <v>185</v>
      </c>
      <c r="N66" s="23" t="s">
        <v>285</v>
      </c>
    </row>
    <row r="67" customFormat="false" ht="30" hidden="false" customHeight="true" outlineLevel="0" collapsed="false">
      <c r="A67" s="18" t="s">
        <v>296</v>
      </c>
      <c r="B67" s="9" t="s">
        <v>42</v>
      </c>
      <c r="C67" s="9" t="s">
        <v>287</v>
      </c>
      <c r="D67" s="9" t="s">
        <v>297</v>
      </c>
      <c r="E67" s="9" t="s">
        <v>289</v>
      </c>
      <c r="F67" s="9" t="s">
        <v>298</v>
      </c>
      <c r="G67" s="20" t="n">
        <v>350</v>
      </c>
      <c r="H67" s="21" t="n">
        <f aca="false">IF(AND($L67="Yes",ISERROR(SEARCH("%",$F67))),$G67*'Cover &amp; Legend'!$C$12,0)</f>
        <v>52.5</v>
      </c>
      <c r="I67" s="21" t="n">
        <f aca="false">IF(ISERROR(SEARCH("%",$F67)),$G67+$H67,0)</f>
        <v>402.5</v>
      </c>
      <c r="J67" s="21" t="n">
        <v>350</v>
      </c>
      <c r="K67" s="9" t="s">
        <v>274</v>
      </c>
      <c r="L67" s="18" t="s">
        <v>95</v>
      </c>
      <c r="M67" s="22" t="s">
        <v>96</v>
      </c>
      <c r="N67" s="23" t="s">
        <v>299</v>
      </c>
    </row>
    <row r="68" customFormat="false" ht="30" hidden="false" customHeight="true" outlineLevel="0" collapsed="false">
      <c r="A68" s="18" t="s">
        <v>300</v>
      </c>
      <c r="B68" s="9" t="s">
        <v>42</v>
      </c>
      <c r="C68" s="9" t="s">
        <v>287</v>
      </c>
      <c r="D68" s="9" t="s">
        <v>301</v>
      </c>
      <c r="E68" s="9" t="s">
        <v>289</v>
      </c>
      <c r="F68" s="9" t="s">
        <v>298</v>
      </c>
      <c r="G68" s="20" t="n">
        <v>500</v>
      </c>
      <c r="H68" s="21" t="n">
        <f aca="false">IF(AND($L68="Yes",ISERROR(SEARCH("%",$F68))),$G68*'Cover &amp; Legend'!$C$12,0)</f>
        <v>75</v>
      </c>
      <c r="I68" s="21" t="n">
        <f aca="false">IF(ISERROR(SEARCH("%",$F68)),$G68+$H68,0)</f>
        <v>575</v>
      </c>
      <c r="J68" s="21" t="n">
        <v>500</v>
      </c>
      <c r="K68" s="9" t="s">
        <v>274</v>
      </c>
      <c r="L68" s="18" t="s">
        <v>95</v>
      </c>
      <c r="M68" s="22" t="s">
        <v>96</v>
      </c>
      <c r="N68" s="23" t="s">
        <v>302</v>
      </c>
    </row>
    <row r="69" customFormat="false" ht="30" hidden="false" customHeight="true" outlineLevel="0" collapsed="false">
      <c r="A69" s="18" t="s">
        <v>303</v>
      </c>
      <c r="B69" s="9" t="s">
        <v>42</v>
      </c>
      <c r="C69" s="9" t="s">
        <v>287</v>
      </c>
      <c r="D69" s="9" t="s">
        <v>304</v>
      </c>
      <c r="E69" s="9" t="s">
        <v>289</v>
      </c>
      <c r="F69" s="9" t="s">
        <v>298</v>
      </c>
      <c r="G69" s="20" t="n">
        <v>750</v>
      </c>
      <c r="H69" s="21" t="n">
        <f aca="false">IF(AND($L69="Yes",ISERROR(SEARCH("%",$F69))),$G69*'Cover &amp; Legend'!$C$12,0)</f>
        <v>112.5</v>
      </c>
      <c r="I69" s="21" t="n">
        <f aca="false">IF(ISERROR(SEARCH("%",$F69)),$G69+$H69,0)</f>
        <v>862.5</v>
      </c>
      <c r="J69" s="21" t="n">
        <v>750</v>
      </c>
      <c r="K69" s="9" t="s">
        <v>274</v>
      </c>
      <c r="L69" s="18" t="s">
        <v>95</v>
      </c>
      <c r="M69" s="22" t="s">
        <v>96</v>
      </c>
      <c r="N69" s="23" t="s">
        <v>302</v>
      </c>
    </row>
    <row r="70" customFormat="false" ht="30" hidden="false" customHeight="true" outlineLevel="0" collapsed="false">
      <c r="A70" s="18" t="s">
        <v>305</v>
      </c>
      <c r="B70" s="9" t="s">
        <v>42</v>
      </c>
      <c r="C70" s="9" t="s">
        <v>287</v>
      </c>
      <c r="D70" s="9" t="s">
        <v>306</v>
      </c>
      <c r="E70" s="9" t="s">
        <v>289</v>
      </c>
      <c r="F70" s="9" t="s">
        <v>298</v>
      </c>
      <c r="G70" s="20" t="n">
        <v>900</v>
      </c>
      <c r="H70" s="21" t="n">
        <f aca="false">IF(AND($L70="Yes",ISERROR(SEARCH("%",$F70))),$G70*'Cover &amp; Legend'!$C$12,0)</f>
        <v>135</v>
      </c>
      <c r="I70" s="21" t="n">
        <f aca="false">IF(ISERROR(SEARCH("%",$F70)),$G70+$H70,0)</f>
        <v>1035</v>
      </c>
      <c r="J70" s="21" t="n">
        <v>900</v>
      </c>
      <c r="K70" s="9" t="s">
        <v>274</v>
      </c>
      <c r="L70" s="18" t="s">
        <v>95</v>
      </c>
      <c r="M70" s="22" t="s">
        <v>96</v>
      </c>
      <c r="N70" s="23" t="s">
        <v>302</v>
      </c>
    </row>
    <row r="71" customFormat="false" ht="30" hidden="false" customHeight="true" outlineLevel="0" collapsed="false">
      <c r="A71" s="18" t="s">
        <v>307</v>
      </c>
      <c r="B71" s="9" t="s">
        <v>42</v>
      </c>
      <c r="C71" s="9" t="s">
        <v>287</v>
      </c>
      <c r="D71" s="9" t="s">
        <v>308</v>
      </c>
      <c r="E71" s="9" t="s">
        <v>289</v>
      </c>
      <c r="F71" s="9" t="s">
        <v>298</v>
      </c>
      <c r="G71" s="25" t="n">
        <v>1200</v>
      </c>
      <c r="H71" s="21" t="n">
        <f aca="false">IF(AND($L71="Yes",ISERROR(SEARCH("%",$F71))),$G71*'Cover &amp; Legend'!$C$12,0)</f>
        <v>180</v>
      </c>
      <c r="I71" s="21" t="n">
        <f aca="false">IF(ISERROR(SEARCH("%",$F71)),$G71+$H71,0)</f>
        <v>1380</v>
      </c>
      <c r="J71" s="21" t="n">
        <v>1200</v>
      </c>
      <c r="K71" s="9" t="s">
        <v>274</v>
      </c>
      <c r="L71" s="18" t="s">
        <v>95</v>
      </c>
      <c r="M71" s="26" t="s">
        <v>185</v>
      </c>
      <c r="N71" s="23" t="s">
        <v>309</v>
      </c>
    </row>
    <row r="72" customFormat="false" ht="30" hidden="false" customHeight="true" outlineLevel="0" collapsed="false">
      <c r="A72" s="18" t="s">
        <v>310</v>
      </c>
      <c r="B72" s="9" t="s">
        <v>42</v>
      </c>
      <c r="C72" s="9" t="s">
        <v>311</v>
      </c>
      <c r="D72" s="9" t="s">
        <v>312</v>
      </c>
      <c r="E72" s="9" t="s">
        <v>313</v>
      </c>
      <c r="F72" s="9" t="s">
        <v>314</v>
      </c>
      <c r="G72" s="20" t="n">
        <v>2</v>
      </c>
      <c r="H72" s="21" t="n">
        <f aca="false">IF(AND($L72="Yes",ISERROR(SEARCH("%",$F72))),$G72*'Cover &amp; Legend'!$C$12,0)</f>
        <v>0.3</v>
      </c>
      <c r="I72" s="21" t="n">
        <f aca="false">IF(ISERROR(SEARCH("%",$F72)),$G72+$H72,0)</f>
        <v>2.3</v>
      </c>
      <c r="J72" s="21" t="n">
        <v>100</v>
      </c>
      <c r="K72" s="9" t="s">
        <v>274</v>
      </c>
      <c r="L72" s="18" t="s">
        <v>95</v>
      </c>
      <c r="M72" s="22" t="s">
        <v>96</v>
      </c>
      <c r="N72" s="23" t="s">
        <v>114</v>
      </c>
    </row>
    <row r="73" customFormat="false" ht="30" hidden="false" customHeight="true" outlineLevel="0" collapsed="false">
      <c r="A73" s="18" t="s">
        <v>315</v>
      </c>
      <c r="B73" s="9" t="s">
        <v>42</v>
      </c>
      <c r="C73" s="9" t="s">
        <v>311</v>
      </c>
      <c r="D73" s="9" t="s">
        <v>316</v>
      </c>
      <c r="E73" s="9" t="s">
        <v>313</v>
      </c>
      <c r="F73" s="9" t="s">
        <v>314</v>
      </c>
      <c r="G73" s="20" t="n">
        <v>3.5</v>
      </c>
      <c r="H73" s="21" t="n">
        <f aca="false">IF(AND($L73="Yes",ISERROR(SEARCH("%",$F73))),$G73*'Cover &amp; Legend'!$C$12,0)</f>
        <v>0.525</v>
      </c>
      <c r="I73" s="21" t="n">
        <f aca="false">IF(ISERROR(SEARCH("%",$F73)),$G73+$H73,0)</f>
        <v>4.025</v>
      </c>
      <c r="J73" s="21" t="n">
        <v>100</v>
      </c>
      <c r="K73" s="9" t="s">
        <v>274</v>
      </c>
      <c r="L73" s="18" t="s">
        <v>95</v>
      </c>
      <c r="M73" s="24" t="s">
        <v>111</v>
      </c>
      <c r="N73" s="23" t="s">
        <v>317</v>
      </c>
    </row>
    <row r="74" customFormat="false" ht="30" hidden="false" customHeight="true" outlineLevel="0" collapsed="false">
      <c r="A74" s="18" t="s">
        <v>318</v>
      </c>
      <c r="B74" s="9" t="s">
        <v>42</v>
      </c>
      <c r="C74" s="9" t="s">
        <v>311</v>
      </c>
      <c r="D74" s="9" t="s">
        <v>319</v>
      </c>
      <c r="E74" s="9" t="s">
        <v>313</v>
      </c>
      <c r="F74" s="9" t="s">
        <v>314</v>
      </c>
      <c r="G74" s="20" t="n">
        <v>5</v>
      </c>
      <c r="H74" s="21" t="n">
        <f aca="false">IF(AND($L74="Yes",ISERROR(SEARCH("%",$F74))),$G74*'Cover &amp; Legend'!$C$12,0)</f>
        <v>0.75</v>
      </c>
      <c r="I74" s="21" t="n">
        <f aca="false">IF(ISERROR(SEARCH("%",$F74)),$G74+$H74,0)</f>
        <v>5.75</v>
      </c>
      <c r="J74" s="21" t="n">
        <v>100</v>
      </c>
      <c r="K74" s="9" t="s">
        <v>274</v>
      </c>
      <c r="L74" s="18" t="s">
        <v>95</v>
      </c>
      <c r="M74" s="24" t="s">
        <v>111</v>
      </c>
      <c r="N74" s="23" t="s">
        <v>320</v>
      </c>
    </row>
    <row r="75" customFormat="false" ht="30" hidden="false" customHeight="true" outlineLevel="0" collapsed="false">
      <c r="A75" s="18" t="s">
        <v>321</v>
      </c>
      <c r="B75" s="9" t="s">
        <v>42</v>
      </c>
      <c r="C75" s="9" t="s">
        <v>311</v>
      </c>
      <c r="D75" s="9" t="s">
        <v>322</v>
      </c>
      <c r="E75" s="9" t="s">
        <v>313</v>
      </c>
      <c r="F75" s="9" t="s">
        <v>314</v>
      </c>
      <c r="G75" s="25" t="n">
        <v>9</v>
      </c>
      <c r="H75" s="21" t="n">
        <f aca="false">IF(AND($L75="Yes",ISERROR(SEARCH("%",$F75))),$G75*'Cover &amp; Legend'!$C$12,0)</f>
        <v>1.35</v>
      </c>
      <c r="I75" s="21" t="n">
        <f aca="false">IF(ISERROR(SEARCH("%",$F75)),$G75+$H75,0)</f>
        <v>10.35</v>
      </c>
      <c r="J75" s="21" t="n">
        <v>150</v>
      </c>
      <c r="K75" s="9" t="s">
        <v>274</v>
      </c>
      <c r="L75" s="18" t="s">
        <v>95</v>
      </c>
      <c r="M75" s="26" t="s">
        <v>185</v>
      </c>
      <c r="N75" s="23" t="s">
        <v>323</v>
      </c>
    </row>
    <row r="76" customFormat="false" ht="30" hidden="false" customHeight="true" outlineLevel="0" collapsed="false">
      <c r="A76" s="18" t="s">
        <v>324</v>
      </c>
      <c r="B76" s="9" t="s">
        <v>42</v>
      </c>
      <c r="C76" s="9" t="s">
        <v>311</v>
      </c>
      <c r="D76" s="9" t="s">
        <v>325</v>
      </c>
      <c r="E76" s="9" t="s">
        <v>326</v>
      </c>
      <c r="F76" s="9" t="s">
        <v>314</v>
      </c>
      <c r="G76" s="25" t="n">
        <v>25</v>
      </c>
      <c r="H76" s="21" t="n">
        <f aca="false">IF(AND($L76="Yes",ISERROR(SEARCH("%",$F76))),$G76*'Cover &amp; Legend'!$C$12,0)</f>
        <v>3.75</v>
      </c>
      <c r="I76" s="21" t="n">
        <f aca="false">IF(ISERROR(SEARCH("%",$F76)),$G76+$H76,0)</f>
        <v>28.75</v>
      </c>
      <c r="J76" s="21" t="n">
        <v>250</v>
      </c>
      <c r="K76" s="9" t="s">
        <v>274</v>
      </c>
      <c r="L76" s="18" t="s">
        <v>95</v>
      </c>
      <c r="M76" s="26" t="s">
        <v>185</v>
      </c>
      <c r="N76" s="23" t="s">
        <v>327</v>
      </c>
    </row>
    <row r="77" customFormat="false" ht="30" hidden="false" customHeight="true" outlineLevel="0" collapsed="false">
      <c r="A77" s="18" t="s">
        <v>328</v>
      </c>
      <c r="B77" s="9" t="s">
        <v>42</v>
      </c>
      <c r="C77" s="9" t="s">
        <v>329</v>
      </c>
      <c r="D77" s="9" t="s">
        <v>330</v>
      </c>
      <c r="E77" s="9" t="s">
        <v>219</v>
      </c>
      <c r="F77" s="9" t="s">
        <v>331</v>
      </c>
      <c r="G77" s="25" t="n">
        <v>40</v>
      </c>
      <c r="H77" s="21" t="n">
        <f aca="false">IF(AND($L77="Yes",ISERROR(SEARCH("%",$F77))),$G77*'Cover &amp; Legend'!$C$12,0)</f>
        <v>6</v>
      </c>
      <c r="I77" s="21" t="n">
        <f aca="false">IF(ISERROR(SEARCH("%",$F77)),$G77+$H77,0)</f>
        <v>46</v>
      </c>
      <c r="J77" s="21" t="n">
        <v>40</v>
      </c>
      <c r="K77" s="9" t="s">
        <v>274</v>
      </c>
      <c r="L77" s="18" t="s">
        <v>95</v>
      </c>
      <c r="M77" s="26" t="s">
        <v>185</v>
      </c>
      <c r="N77" s="23" t="s">
        <v>332</v>
      </c>
    </row>
    <row r="78" customFormat="false" ht="30" hidden="false" customHeight="true" outlineLevel="0" collapsed="false">
      <c r="A78" s="18" t="s">
        <v>333</v>
      </c>
      <c r="B78" s="9" t="s">
        <v>42</v>
      </c>
      <c r="C78" s="9" t="s">
        <v>329</v>
      </c>
      <c r="D78" s="9" t="s">
        <v>334</v>
      </c>
      <c r="E78" s="9" t="s">
        <v>219</v>
      </c>
      <c r="F78" s="9" t="s">
        <v>273</v>
      </c>
      <c r="G78" s="25" t="n">
        <v>15</v>
      </c>
      <c r="H78" s="21" t="n">
        <f aca="false">IF(AND($L78="Yes",ISERROR(SEARCH("%",$F78))),$G78*'Cover &amp; Legend'!$C$12,0)</f>
        <v>2.25</v>
      </c>
      <c r="I78" s="21" t="n">
        <f aca="false">IF(ISERROR(SEARCH("%",$F78)),$G78+$H78,0)</f>
        <v>17.25</v>
      </c>
      <c r="J78" s="21" t="n">
        <v>150</v>
      </c>
      <c r="K78" s="9" t="s">
        <v>274</v>
      </c>
      <c r="L78" s="18" t="s">
        <v>95</v>
      </c>
      <c r="M78" s="26" t="s">
        <v>185</v>
      </c>
      <c r="N78" s="23" t="s">
        <v>335</v>
      </c>
    </row>
    <row r="79" customFormat="false" ht="30" hidden="false" customHeight="true" outlineLevel="0" collapsed="false">
      <c r="A79" s="18" t="s">
        <v>336</v>
      </c>
      <c r="B79" s="9" t="s">
        <v>42</v>
      </c>
      <c r="C79" s="9" t="s">
        <v>329</v>
      </c>
      <c r="D79" s="9" t="s">
        <v>337</v>
      </c>
      <c r="E79" s="9" t="s">
        <v>219</v>
      </c>
      <c r="F79" s="9" t="s">
        <v>273</v>
      </c>
      <c r="G79" s="25" t="n">
        <v>20</v>
      </c>
      <c r="H79" s="21" t="n">
        <f aca="false">IF(AND($L79="Yes",ISERROR(SEARCH("%",$F79))),$G79*'Cover &amp; Legend'!$C$12,0)</f>
        <v>3</v>
      </c>
      <c r="I79" s="21" t="n">
        <f aca="false">IF(ISERROR(SEARCH("%",$F79)),$G79+$H79,0)</f>
        <v>23</v>
      </c>
      <c r="J79" s="21" t="n">
        <v>200</v>
      </c>
      <c r="K79" s="9" t="s">
        <v>274</v>
      </c>
      <c r="L79" s="18" t="s">
        <v>95</v>
      </c>
      <c r="M79" s="26" t="s">
        <v>185</v>
      </c>
      <c r="N79" s="23" t="s">
        <v>338</v>
      </c>
    </row>
    <row r="80" customFormat="false" ht="30" hidden="false" customHeight="true" outlineLevel="0" collapsed="false">
      <c r="A80" s="18" t="s">
        <v>339</v>
      </c>
      <c r="B80" s="9" t="s">
        <v>42</v>
      </c>
      <c r="C80" s="9" t="s">
        <v>329</v>
      </c>
      <c r="D80" s="9" t="s">
        <v>340</v>
      </c>
      <c r="E80" s="9" t="s">
        <v>341</v>
      </c>
      <c r="F80" s="9" t="s">
        <v>342</v>
      </c>
      <c r="G80" s="25" t="n">
        <v>8</v>
      </c>
      <c r="H80" s="21" t="n">
        <f aca="false">IF(AND($L80="Yes",ISERROR(SEARCH("%",$F80))),$G80*'Cover &amp; Legend'!$C$12,0)</f>
        <v>1.2</v>
      </c>
      <c r="I80" s="21" t="n">
        <f aca="false">IF(ISERROR(SEARCH("%",$F80)),$G80+$H80,0)</f>
        <v>9.2</v>
      </c>
      <c r="J80" s="21" t="n">
        <v>100</v>
      </c>
      <c r="K80" s="9" t="s">
        <v>274</v>
      </c>
      <c r="L80" s="18" t="s">
        <v>95</v>
      </c>
      <c r="M80" s="26" t="s">
        <v>185</v>
      </c>
      <c r="N80" s="23" t="s">
        <v>343</v>
      </c>
    </row>
    <row r="81" customFormat="false" ht="30" hidden="false" customHeight="true" outlineLevel="0" collapsed="false">
      <c r="A81" s="18" t="s">
        <v>344</v>
      </c>
      <c r="B81" s="9" t="s">
        <v>42</v>
      </c>
      <c r="C81" s="9" t="s">
        <v>329</v>
      </c>
      <c r="D81" s="9" t="s">
        <v>345</v>
      </c>
      <c r="E81" s="9" t="s">
        <v>346</v>
      </c>
      <c r="F81" s="9" t="s">
        <v>314</v>
      </c>
      <c r="G81" s="25" t="n">
        <v>1.5</v>
      </c>
      <c r="H81" s="21" t="n">
        <f aca="false">IF(AND($L81="Yes",ISERROR(SEARCH("%",$F81))),$G81*'Cover &amp; Legend'!$C$12,0)</f>
        <v>0.225</v>
      </c>
      <c r="I81" s="21" t="n">
        <f aca="false">IF(ISERROR(SEARCH("%",$F81)),$G81+$H81,0)</f>
        <v>1.725</v>
      </c>
      <c r="J81" s="21" t="n">
        <v>150</v>
      </c>
      <c r="K81" s="9" t="s">
        <v>274</v>
      </c>
      <c r="L81" s="18" t="s">
        <v>95</v>
      </c>
      <c r="M81" s="26" t="s">
        <v>185</v>
      </c>
      <c r="N81" s="23" t="s">
        <v>347</v>
      </c>
    </row>
    <row r="82" customFormat="false" ht="30" hidden="false" customHeight="true" outlineLevel="0" collapsed="false">
      <c r="A82" s="18" t="s">
        <v>348</v>
      </c>
      <c r="B82" s="9" t="s">
        <v>42</v>
      </c>
      <c r="C82" s="9" t="s">
        <v>329</v>
      </c>
      <c r="D82" s="9" t="s">
        <v>349</v>
      </c>
      <c r="E82" s="9" t="s">
        <v>182</v>
      </c>
      <c r="F82" s="9" t="s">
        <v>350</v>
      </c>
      <c r="G82" s="25" t="n">
        <v>75</v>
      </c>
      <c r="H82" s="21" t="n">
        <f aca="false">IF(AND($L82="Yes",ISERROR(SEARCH("%",$F82))),$G82*'Cover &amp; Legend'!$C$12,0)</f>
        <v>11.25</v>
      </c>
      <c r="I82" s="21" t="n">
        <f aca="false">IF(ISERROR(SEARCH("%",$F82)),$G82+$H82,0)</f>
        <v>86.25</v>
      </c>
      <c r="J82" s="21" t="n">
        <v>75</v>
      </c>
      <c r="K82" s="9" t="s">
        <v>274</v>
      </c>
      <c r="L82" s="18" t="s">
        <v>95</v>
      </c>
      <c r="M82" s="26" t="s">
        <v>185</v>
      </c>
      <c r="N82" s="23" t="s">
        <v>351</v>
      </c>
    </row>
    <row r="83" customFormat="false" ht="30" hidden="false" customHeight="true" outlineLevel="0" collapsed="false">
      <c r="A83" s="18" t="s">
        <v>352</v>
      </c>
      <c r="B83" s="9" t="s">
        <v>42</v>
      </c>
      <c r="C83" s="9" t="s">
        <v>329</v>
      </c>
      <c r="D83" s="9" t="s">
        <v>353</v>
      </c>
      <c r="E83" s="9" t="s">
        <v>341</v>
      </c>
      <c r="F83" s="9" t="s">
        <v>354</v>
      </c>
      <c r="G83" s="25" t="n">
        <v>60</v>
      </c>
      <c r="H83" s="21" t="n">
        <f aca="false">IF(AND($L83="Yes",ISERROR(SEARCH("%",$F83))),$G83*'Cover &amp; Legend'!$C$12,0)</f>
        <v>9</v>
      </c>
      <c r="I83" s="21" t="n">
        <f aca="false">IF(ISERROR(SEARCH("%",$F83)),$G83+$H83,0)</f>
        <v>69</v>
      </c>
      <c r="J83" s="21" t="n">
        <v>120</v>
      </c>
      <c r="K83" s="9" t="s">
        <v>274</v>
      </c>
      <c r="L83" s="18" t="s">
        <v>95</v>
      </c>
      <c r="M83" s="26" t="s">
        <v>185</v>
      </c>
      <c r="N83" s="23" t="s">
        <v>355</v>
      </c>
    </row>
    <row r="84" customFormat="false" ht="30" hidden="false" customHeight="true" outlineLevel="0" collapsed="false">
      <c r="A84" s="18" t="s">
        <v>356</v>
      </c>
      <c r="B84" s="9" t="s">
        <v>42</v>
      </c>
      <c r="C84" s="9" t="s">
        <v>329</v>
      </c>
      <c r="D84" s="9" t="s">
        <v>357</v>
      </c>
      <c r="E84" s="9" t="s">
        <v>219</v>
      </c>
      <c r="F84" s="9" t="s">
        <v>358</v>
      </c>
      <c r="G84" s="25" t="n">
        <v>50</v>
      </c>
      <c r="H84" s="21" t="n">
        <f aca="false">IF(AND($L84="Yes",ISERROR(SEARCH("%",$F84))),$G84*'Cover &amp; Legend'!$C$12,0)</f>
        <v>7.5</v>
      </c>
      <c r="I84" s="21" t="n">
        <f aca="false">IF(ISERROR(SEARCH("%",$F84)),$G84+$H84,0)</f>
        <v>57.5</v>
      </c>
      <c r="J84" s="21" t="n">
        <v>50</v>
      </c>
      <c r="K84" s="9" t="s">
        <v>274</v>
      </c>
      <c r="L84" s="18" t="s">
        <v>95</v>
      </c>
      <c r="M84" s="26" t="s">
        <v>185</v>
      </c>
      <c r="N84" s="23" t="s">
        <v>359</v>
      </c>
    </row>
    <row r="85" customFormat="false" ht="30" hidden="false" customHeight="true" outlineLevel="0" collapsed="false">
      <c r="A85" s="18" t="s">
        <v>360</v>
      </c>
      <c r="B85" s="9" t="s">
        <v>42</v>
      </c>
      <c r="C85" s="9" t="s">
        <v>329</v>
      </c>
      <c r="D85" s="9" t="s">
        <v>361</v>
      </c>
      <c r="E85" s="9" t="s">
        <v>219</v>
      </c>
      <c r="F85" s="9" t="s">
        <v>362</v>
      </c>
      <c r="G85" s="25" t="n">
        <v>100</v>
      </c>
      <c r="H85" s="21" t="n">
        <f aca="false">IF(AND($L85="Yes",ISERROR(SEARCH("%",$F85))),$G85*'Cover &amp; Legend'!$C$12,0)</f>
        <v>15</v>
      </c>
      <c r="I85" s="21" t="n">
        <f aca="false">IF(ISERROR(SEARCH("%",$F85)),$G85+$H85,0)</f>
        <v>115</v>
      </c>
      <c r="J85" s="21" t="n">
        <v>100</v>
      </c>
      <c r="K85" s="9" t="s">
        <v>274</v>
      </c>
      <c r="L85" s="18" t="s">
        <v>95</v>
      </c>
      <c r="M85" s="26" t="s">
        <v>185</v>
      </c>
      <c r="N85" s="23" t="s">
        <v>363</v>
      </c>
    </row>
    <row r="86" customFormat="false" ht="30" hidden="false" customHeight="true" outlineLevel="0" collapsed="false">
      <c r="A86" s="18" t="s">
        <v>364</v>
      </c>
      <c r="B86" s="19" t="s">
        <v>44</v>
      </c>
      <c r="C86" s="9" t="s">
        <v>365</v>
      </c>
      <c r="D86" s="9" t="s">
        <v>366</v>
      </c>
      <c r="E86" s="9" t="s">
        <v>219</v>
      </c>
      <c r="F86" s="9" t="s">
        <v>367</v>
      </c>
      <c r="G86" s="20" t="n">
        <v>25</v>
      </c>
      <c r="H86" s="21" t="n">
        <f aca="false">IF(AND($L86="Yes",ISERROR(SEARCH("%",$F86))),$G86*'Cover &amp; Legend'!$C$12,0)</f>
        <v>3.75</v>
      </c>
      <c r="I86" s="21" t="n">
        <f aca="false">IF(ISERROR(SEARCH("%",$F86)),$G86+$H86,0)</f>
        <v>28.75</v>
      </c>
      <c r="J86" s="21" t="n">
        <v>25</v>
      </c>
      <c r="K86" s="9" t="s">
        <v>274</v>
      </c>
      <c r="L86" s="18" t="s">
        <v>95</v>
      </c>
      <c r="M86" s="24" t="s">
        <v>111</v>
      </c>
      <c r="N86" s="23" t="s">
        <v>368</v>
      </c>
    </row>
    <row r="87" customFormat="false" ht="30" hidden="false" customHeight="true" outlineLevel="0" collapsed="false">
      <c r="A87" s="18" t="s">
        <v>369</v>
      </c>
      <c r="B87" s="9" t="s">
        <v>44</v>
      </c>
      <c r="C87" s="9" t="s">
        <v>365</v>
      </c>
      <c r="D87" s="9" t="s">
        <v>370</v>
      </c>
      <c r="E87" s="9" t="s">
        <v>219</v>
      </c>
      <c r="F87" s="9" t="s">
        <v>371</v>
      </c>
      <c r="G87" s="25" t="n">
        <v>5</v>
      </c>
      <c r="H87" s="21" t="n">
        <f aca="false">IF(AND($L87="Yes",ISERROR(SEARCH("%",$F87))),$G87*'Cover &amp; Legend'!$C$12,0)</f>
        <v>0.75</v>
      </c>
      <c r="I87" s="21" t="n">
        <f aca="false">IF(ISERROR(SEARCH("%",$F87)),$G87+$H87,0)</f>
        <v>5.75</v>
      </c>
      <c r="J87" s="21" t="n">
        <v>0</v>
      </c>
      <c r="K87" s="9" t="s">
        <v>274</v>
      </c>
      <c r="L87" s="18" t="s">
        <v>95</v>
      </c>
      <c r="M87" s="26" t="s">
        <v>185</v>
      </c>
      <c r="N87" s="23" t="s">
        <v>372</v>
      </c>
    </row>
    <row r="88" customFormat="false" ht="30" hidden="false" customHeight="true" outlineLevel="0" collapsed="false">
      <c r="A88" s="18" t="s">
        <v>373</v>
      </c>
      <c r="B88" s="9" t="s">
        <v>44</v>
      </c>
      <c r="C88" s="9" t="s">
        <v>365</v>
      </c>
      <c r="D88" s="9" t="s">
        <v>374</v>
      </c>
      <c r="E88" s="9" t="s">
        <v>219</v>
      </c>
      <c r="F88" s="9" t="s">
        <v>367</v>
      </c>
      <c r="G88" s="25" t="n">
        <v>150</v>
      </c>
      <c r="H88" s="21" t="n">
        <f aca="false">IF(AND($L88="Yes",ISERROR(SEARCH("%",$F88))),$G88*'Cover &amp; Legend'!$C$12,0)</f>
        <v>22.5</v>
      </c>
      <c r="I88" s="21" t="n">
        <f aca="false">IF(ISERROR(SEARCH("%",$F88)),$G88+$H88,0)</f>
        <v>172.5</v>
      </c>
      <c r="J88" s="21" t="n">
        <v>150</v>
      </c>
      <c r="K88" s="9" t="s">
        <v>274</v>
      </c>
      <c r="L88" s="18" t="s">
        <v>95</v>
      </c>
      <c r="M88" s="26" t="s">
        <v>185</v>
      </c>
      <c r="N88" s="23" t="s">
        <v>375</v>
      </c>
    </row>
    <row r="89" customFormat="false" ht="30" hidden="false" customHeight="true" outlineLevel="0" collapsed="false">
      <c r="A89" s="18" t="s">
        <v>376</v>
      </c>
      <c r="B89" s="9" t="s">
        <v>44</v>
      </c>
      <c r="C89" s="9" t="s">
        <v>365</v>
      </c>
      <c r="D89" s="9" t="s">
        <v>377</v>
      </c>
      <c r="E89" s="9" t="s">
        <v>219</v>
      </c>
      <c r="F89" s="9" t="s">
        <v>367</v>
      </c>
      <c r="G89" s="25" t="n">
        <v>75</v>
      </c>
      <c r="H89" s="21" t="n">
        <f aca="false">IF(AND($L89="Yes",ISERROR(SEARCH("%",$F89))),$G89*'Cover &amp; Legend'!$C$12,0)</f>
        <v>11.25</v>
      </c>
      <c r="I89" s="21" t="n">
        <f aca="false">IF(ISERROR(SEARCH("%",$F89)),$G89+$H89,0)</f>
        <v>86.25</v>
      </c>
      <c r="J89" s="21" t="n">
        <v>75</v>
      </c>
      <c r="K89" s="9" t="s">
        <v>274</v>
      </c>
      <c r="L89" s="18" t="s">
        <v>95</v>
      </c>
      <c r="M89" s="26" t="s">
        <v>185</v>
      </c>
      <c r="N89" s="23" t="s">
        <v>378</v>
      </c>
    </row>
    <row r="90" customFormat="false" ht="30" hidden="false" customHeight="true" outlineLevel="0" collapsed="false">
      <c r="A90" s="18" t="s">
        <v>379</v>
      </c>
      <c r="B90" s="9" t="s">
        <v>44</v>
      </c>
      <c r="C90" s="9" t="s">
        <v>365</v>
      </c>
      <c r="D90" s="9" t="s">
        <v>380</v>
      </c>
      <c r="E90" s="9" t="s">
        <v>219</v>
      </c>
      <c r="F90" s="9" t="s">
        <v>367</v>
      </c>
      <c r="G90" s="25" t="n">
        <v>100</v>
      </c>
      <c r="H90" s="21" t="n">
        <f aca="false">IF(AND($L90="Yes",ISERROR(SEARCH("%",$F90))),$G90*'Cover &amp; Legend'!$C$12,0)</f>
        <v>15</v>
      </c>
      <c r="I90" s="21" t="n">
        <f aca="false">IF(ISERROR(SEARCH("%",$F90)),$G90+$H90,0)</f>
        <v>115</v>
      </c>
      <c r="J90" s="21" t="n">
        <v>100</v>
      </c>
      <c r="K90" s="9" t="s">
        <v>274</v>
      </c>
      <c r="L90" s="18" t="s">
        <v>95</v>
      </c>
      <c r="M90" s="26" t="s">
        <v>185</v>
      </c>
      <c r="N90" s="23" t="s">
        <v>381</v>
      </c>
    </row>
    <row r="91" customFormat="false" ht="30" hidden="false" customHeight="true" outlineLevel="0" collapsed="false">
      <c r="A91" s="18" t="s">
        <v>382</v>
      </c>
      <c r="B91" s="9" t="s">
        <v>44</v>
      </c>
      <c r="C91" s="9" t="s">
        <v>270</v>
      </c>
      <c r="D91" s="9" t="s">
        <v>383</v>
      </c>
      <c r="E91" s="9" t="s">
        <v>272</v>
      </c>
      <c r="F91" s="9" t="s">
        <v>273</v>
      </c>
      <c r="G91" s="20" t="n">
        <v>10</v>
      </c>
      <c r="H91" s="21" t="n">
        <f aca="false">IF(AND($L91="Yes",ISERROR(SEARCH("%",$F91))),$G91*'Cover &amp; Legend'!$C$12,0)</f>
        <v>1.5</v>
      </c>
      <c r="I91" s="21" t="n">
        <f aca="false">IF(ISERROR(SEARCH("%",$F91)),$G91+$H91,0)</f>
        <v>11.5</v>
      </c>
      <c r="J91" s="21" t="n">
        <v>250</v>
      </c>
      <c r="K91" s="9" t="s">
        <v>274</v>
      </c>
      <c r="L91" s="18" t="s">
        <v>95</v>
      </c>
      <c r="M91" s="22" t="s">
        <v>96</v>
      </c>
      <c r="N91" s="23" t="s">
        <v>384</v>
      </c>
    </row>
    <row r="92" customFormat="false" ht="30" hidden="false" customHeight="true" outlineLevel="0" collapsed="false">
      <c r="A92" s="18" t="s">
        <v>385</v>
      </c>
      <c r="B92" s="9" t="s">
        <v>44</v>
      </c>
      <c r="C92" s="9" t="s">
        <v>270</v>
      </c>
      <c r="D92" s="9" t="s">
        <v>386</v>
      </c>
      <c r="E92" s="9" t="s">
        <v>272</v>
      </c>
      <c r="F92" s="9" t="s">
        <v>278</v>
      </c>
      <c r="G92" s="20" t="n">
        <v>400</v>
      </c>
      <c r="H92" s="21" t="n">
        <f aca="false">IF(AND($L92="Yes",ISERROR(SEARCH("%",$F92))),$G92*'Cover &amp; Legend'!$C$12,0)</f>
        <v>60</v>
      </c>
      <c r="I92" s="21" t="n">
        <f aca="false">IF(ISERROR(SEARCH("%",$F92)),$G92+$H92,0)</f>
        <v>460</v>
      </c>
      <c r="J92" s="21" t="n">
        <v>400</v>
      </c>
      <c r="K92" s="9" t="s">
        <v>274</v>
      </c>
      <c r="L92" s="18" t="s">
        <v>95</v>
      </c>
      <c r="M92" s="22" t="s">
        <v>96</v>
      </c>
      <c r="N92" s="23" t="s">
        <v>387</v>
      </c>
    </row>
    <row r="93" customFormat="false" ht="30" hidden="false" customHeight="true" outlineLevel="0" collapsed="false">
      <c r="A93" s="18" t="s">
        <v>388</v>
      </c>
      <c r="B93" s="9" t="s">
        <v>44</v>
      </c>
      <c r="C93" s="9" t="s">
        <v>270</v>
      </c>
      <c r="D93" s="9" t="s">
        <v>389</v>
      </c>
      <c r="E93" s="9" t="s">
        <v>272</v>
      </c>
      <c r="F93" s="9" t="s">
        <v>278</v>
      </c>
      <c r="G93" s="20" t="n">
        <v>550</v>
      </c>
      <c r="H93" s="21" t="n">
        <f aca="false">IF(AND($L93="Yes",ISERROR(SEARCH("%",$F93))),$G93*'Cover &amp; Legend'!$C$12,0)</f>
        <v>82.5</v>
      </c>
      <c r="I93" s="21" t="n">
        <f aca="false">IF(ISERROR(SEARCH("%",$F93)),$G93+$H93,0)</f>
        <v>632.5</v>
      </c>
      <c r="J93" s="21" t="n">
        <v>550</v>
      </c>
      <c r="K93" s="9" t="s">
        <v>274</v>
      </c>
      <c r="L93" s="18" t="s">
        <v>95</v>
      </c>
      <c r="M93" s="22" t="s">
        <v>96</v>
      </c>
      <c r="N93" s="23" t="s">
        <v>282</v>
      </c>
    </row>
    <row r="94" customFormat="false" ht="30" hidden="false" customHeight="true" outlineLevel="0" collapsed="false">
      <c r="A94" s="18" t="s">
        <v>390</v>
      </c>
      <c r="B94" s="9" t="s">
        <v>44</v>
      </c>
      <c r="C94" s="9" t="s">
        <v>270</v>
      </c>
      <c r="D94" s="9" t="s">
        <v>391</v>
      </c>
      <c r="E94" s="9" t="s">
        <v>272</v>
      </c>
      <c r="F94" s="9" t="s">
        <v>278</v>
      </c>
      <c r="G94" s="25" t="n">
        <v>650</v>
      </c>
      <c r="H94" s="21" t="n">
        <f aca="false">IF(AND($L94="Yes",ISERROR(SEARCH("%",$F94))),$G94*'Cover &amp; Legend'!$C$12,0)</f>
        <v>97.5</v>
      </c>
      <c r="I94" s="21" t="n">
        <f aca="false">IF(ISERROR(SEARCH("%",$F94)),$G94+$H94,0)</f>
        <v>747.5</v>
      </c>
      <c r="J94" s="21" t="n">
        <v>650</v>
      </c>
      <c r="K94" s="9" t="s">
        <v>274</v>
      </c>
      <c r="L94" s="18" t="s">
        <v>95</v>
      </c>
      <c r="M94" s="26" t="s">
        <v>185</v>
      </c>
      <c r="N94" s="23" t="s">
        <v>285</v>
      </c>
    </row>
    <row r="95" customFormat="false" ht="30" hidden="false" customHeight="true" outlineLevel="0" collapsed="false">
      <c r="A95" s="18" t="s">
        <v>392</v>
      </c>
      <c r="B95" s="9" t="s">
        <v>44</v>
      </c>
      <c r="C95" s="9" t="s">
        <v>287</v>
      </c>
      <c r="D95" s="9" t="s">
        <v>393</v>
      </c>
      <c r="E95" s="9" t="s">
        <v>289</v>
      </c>
      <c r="F95" s="9" t="s">
        <v>278</v>
      </c>
      <c r="G95" s="20" t="n">
        <v>900</v>
      </c>
      <c r="H95" s="21" t="n">
        <f aca="false">IF(AND($L95="Yes",ISERROR(SEARCH("%",$F95))),$G95*'Cover &amp; Legend'!$C$12,0)</f>
        <v>135</v>
      </c>
      <c r="I95" s="21" t="n">
        <f aca="false">IF(ISERROR(SEARCH("%",$F95)),$G95+$H95,0)</f>
        <v>1035</v>
      </c>
      <c r="J95" s="21" t="n">
        <v>900</v>
      </c>
      <c r="K95" s="9" t="s">
        <v>274</v>
      </c>
      <c r="L95" s="18" t="s">
        <v>95</v>
      </c>
      <c r="M95" s="22" t="s">
        <v>96</v>
      </c>
      <c r="N95" s="23" t="s">
        <v>394</v>
      </c>
    </row>
    <row r="96" customFormat="false" ht="30" hidden="false" customHeight="true" outlineLevel="0" collapsed="false">
      <c r="A96" s="18" t="s">
        <v>395</v>
      </c>
      <c r="B96" s="9" t="s">
        <v>44</v>
      </c>
      <c r="C96" s="9" t="s">
        <v>287</v>
      </c>
      <c r="D96" s="9" t="s">
        <v>396</v>
      </c>
      <c r="E96" s="9" t="s">
        <v>289</v>
      </c>
      <c r="F96" s="9" t="s">
        <v>278</v>
      </c>
      <c r="G96" s="20" t="n">
        <v>1200</v>
      </c>
      <c r="H96" s="21" t="n">
        <f aca="false">IF(AND($L96="Yes",ISERROR(SEARCH("%",$F96))),$G96*'Cover &amp; Legend'!$C$12,0)</f>
        <v>180</v>
      </c>
      <c r="I96" s="21" t="n">
        <f aca="false">IF(ISERROR(SEARCH("%",$F96)),$G96+$H96,0)</f>
        <v>1380</v>
      </c>
      <c r="J96" s="21" t="n">
        <v>1200</v>
      </c>
      <c r="K96" s="9" t="s">
        <v>274</v>
      </c>
      <c r="L96" s="18" t="s">
        <v>95</v>
      </c>
      <c r="M96" s="22" t="s">
        <v>96</v>
      </c>
      <c r="N96" s="23" t="s">
        <v>293</v>
      </c>
    </row>
    <row r="97" customFormat="false" ht="30" hidden="false" customHeight="true" outlineLevel="0" collapsed="false">
      <c r="A97" s="18" t="s">
        <v>397</v>
      </c>
      <c r="B97" s="9" t="s">
        <v>44</v>
      </c>
      <c r="C97" s="9" t="s">
        <v>287</v>
      </c>
      <c r="D97" s="9" t="s">
        <v>398</v>
      </c>
      <c r="E97" s="9" t="s">
        <v>289</v>
      </c>
      <c r="F97" s="9" t="s">
        <v>278</v>
      </c>
      <c r="G97" s="25" t="n">
        <v>1400</v>
      </c>
      <c r="H97" s="21" t="n">
        <f aca="false">IF(AND($L97="Yes",ISERROR(SEARCH("%",$F97))),$G97*'Cover &amp; Legend'!$C$12,0)</f>
        <v>210</v>
      </c>
      <c r="I97" s="21" t="n">
        <f aca="false">IF(ISERROR(SEARCH("%",$F97)),$G97+$H97,0)</f>
        <v>1610</v>
      </c>
      <c r="J97" s="21" t="n">
        <v>1400</v>
      </c>
      <c r="K97" s="9" t="s">
        <v>274</v>
      </c>
      <c r="L97" s="18" t="s">
        <v>95</v>
      </c>
      <c r="M97" s="26" t="s">
        <v>185</v>
      </c>
      <c r="N97" s="23" t="s">
        <v>285</v>
      </c>
    </row>
    <row r="98" customFormat="false" ht="30" hidden="false" customHeight="true" outlineLevel="0" collapsed="false">
      <c r="A98" s="18" t="s">
        <v>399</v>
      </c>
      <c r="B98" s="9" t="s">
        <v>44</v>
      </c>
      <c r="C98" s="9" t="s">
        <v>287</v>
      </c>
      <c r="D98" s="9" t="s">
        <v>400</v>
      </c>
      <c r="E98" s="9" t="s">
        <v>289</v>
      </c>
      <c r="F98" s="9" t="s">
        <v>298</v>
      </c>
      <c r="G98" s="20" t="n">
        <v>350</v>
      </c>
      <c r="H98" s="21" t="n">
        <f aca="false">IF(AND($L98="Yes",ISERROR(SEARCH("%",$F98))),$G98*'Cover &amp; Legend'!$C$12,0)</f>
        <v>52.5</v>
      </c>
      <c r="I98" s="21" t="n">
        <f aca="false">IF(ISERROR(SEARCH("%",$F98)),$G98+$H98,0)</f>
        <v>402.5</v>
      </c>
      <c r="J98" s="21" t="n">
        <v>350</v>
      </c>
      <c r="K98" s="9" t="s">
        <v>274</v>
      </c>
      <c r="L98" s="18" t="s">
        <v>95</v>
      </c>
      <c r="M98" s="22" t="s">
        <v>96</v>
      </c>
      <c r="N98" s="23" t="s">
        <v>302</v>
      </c>
    </row>
    <row r="99" customFormat="false" ht="30" hidden="false" customHeight="true" outlineLevel="0" collapsed="false">
      <c r="A99" s="18" t="s">
        <v>401</v>
      </c>
      <c r="B99" s="9" t="s">
        <v>44</v>
      </c>
      <c r="C99" s="9" t="s">
        <v>287</v>
      </c>
      <c r="D99" s="9" t="s">
        <v>402</v>
      </c>
      <c r="E99" s="9" t="s">
        <v>289</v>
      </c>
      <c r="F99" s="9" t="s">
        <v>298</v>
      </c>
      <c r="G99" s="20" t="n">
        <v>500</v>
      </c>
      <c r="H99" s="21" t="n">
        <f aca="false">IF(AND($L99="Yes",ISERROR(SEARCH("%",$F99))),$G99*'Cover &amp; Legend'!$C$12,0)</f>
        <v>75</v>
      </c>
      <c r="I99" s="21" t="n">
        <f aca="false">IF(ISERROR(SEARCH("%",$F99)),$G99+$H99,0)</f>
        <v>575</v>
      </c>
      <c r="J99" s="21" t="n">
        <v>500</v>
      </c>
      <c r="K99" s="9" t="s">
        <v>274</v>
      </c>
      <c r="L99" s="18" t="s">
        <v>95</v>
      </c>
      <c r="M99" s="24" t="s">
        <v>111</v>
      </c>
      <c r="N99" s="23" t="s">
        <v>403</v>
      </c>
    </row>
    <row r="100" customFormat="false" ht="30" hidden="false" customHeight="true" outlineLevel="0" collapsed="false">
      <c r="A100" s="18" t="s">
        <v>404</v>
      </c>
      <c r="B100" s="9" t="s">
        <v>44</v>
      </c>
      <c r="C100" s="9" t="s">
        <v>287</v>
      </c>
      <c r="D100" s="9" t="s">
        <v>405</v>
      </c>
      <c r="E100" s="9" t="s">
        <v>289</v>
      </c>
      <c r="F100" s="9" t="s">
        <v>298</v>
      </c>
      <c r="G100" s="20" t="n">
        <v>750</v>
      </c>
      <c r="H100" s="21" t="n">
        <f aca="false">IF(AND($L100="Yes",ISERROR(SEARCH("%",$F100))),$G100*'Cover &amp; Legend'!$C$12,0)</f>
        <v>112.5</v>
      </c>
      <c r="I100" s="21" t="n">
        <f aca="false">IF(ISERROR(SEARCH("%",$F100)),$G100+$H100,0)</f>
        <v>862.5</v>
      </c>
      <c r="J100" s="21" t="n">
        <v>750</v>
      </c>
      <c r="K100" s="9" t="s">
        <v>274</v>
      </c>
      <c r="L100" s="18" t="s">
        <v>95</v>
      </c>
      <c r="M100" s="22" t="s">
        <v>96</v>
      </c>
      <c r="N100" s="23" t="s">
        <v>302</v>
      </c>
    </row>
    <row r="101" customFormat="false" ht="30" hidden="false" customHeight="true" outlineLevel="0" collapsed="false">
      <c r="A101" s="18" t="s">
        <v>406</v>
      </c>
      <c r="B101" s="9" t="s">
        <v>44</v>
      </c>
      <c r="C101" s="9" t="s">
        <v>287</v>
      </c>
      <c r="D101" s="9" t="s">
        <v>407</v>
      </c>
      <c r="E101" s="9" t="s">
        <v>289</v>
      </c>
      <c r="F101" s="9" t="s">
        <v>298</v>
      </c>
      <c r="G101" s="20" t="n">
        <v>900</v>
      </c>
      <c r="H101" s="21" t="n">
        <f aca="false">IF(AND($L101="Yes",ISERROR(SEARCH("%",$F101))),$G101*'Cover &amp; Legend'!$C$12,0)</f>
        <v>135</v>
      </c>
      <c r="I101" s="21" t="n">
        <f aca="false">IF(ISERROR(SEARCH("%",$F101)),$G101+$H101,0)</f>
        <v>1035</v>
      </c>
      <c r="J101" s="21" t="n">
        <v>900</v>
      </c>
      <c r="K101" s="9" t="s">
        <v>274</v>
      </c>
      <c r="L101" s="18" t="s">
        <v>95</v>
      </c>
      <c r="M101" s="22" t="s">
        <v>96</v>
      </c>
      <c r="N101" s="23" t="s">
        <v>302</v>
      </c>
    </row>
    <row r="102" customFormat="false" ht="30" hidden="false" customHeight="true" outlineLevel="0" collapsed="false">
      <c r="A102" s="18" t="s">
        <v>408</v>
      </c>
      <c r="B102" s="9" t="s">
        <v>44</v>
      </c>
      <c r="C102" s="9" t="s">
        <v>287</v>
      </c>
      <c r="D102" s="9" t="s">
        <v>409</v>
      </c>
      <c r="E102" s="9" t="s">
        <v>289</v>
      </c>
      <c r="F102" s="9" t="s">
        <v>298</v>
      </c>
      <c r="G102" s="25" t="n">
        <v>1200</v>
      </c>
      <c r="H102" s="21" t="n">
        <f aca="false">IF(AND($L102="Yes",ISERROR(SEARCH("%",$F102))),$G102*'Cover &amp; Legend'!$C$12,0)</f>
        <v>180</v>
      </c>
      <c r="I102" s="21" t="n">
        <f aca="false">IF(ISERROR(SEARCH("%",$F102)),$G102+$H102,0)</f>
        <v>1380</v>
      </c>
      <c r="J102" s="21" t="n">
        <v>1200</v>
      </c>
      <c r="K102" s="9" t="s">
        <v>274</v>
      </c>
      <c r="L102" s="18" t="s">
        <v>95</v>
      </c>
      <c r="M102" s="26" t="s">
        <v>185</v>
      </c>
      <c r="N102" s="23" t="s">
        <v>309</v>
      </c>
    </row>
    <row r="103" customFormat="false" ht="30" hidden="false" customHeight="true" outlineLevel="0" collapsed="false">
      <c r="A103" s="18" t="s">
        <v>410</v>
      </c>
      <c r="B103" s="9" t="s">
        <v>44</v>
      </c>
      <c r="C103" s="9" t="s">
        <v>311</v>
      </c>
      <c r="D103" s="9" t="s">
        <v>411</v>
      </c>
      <c r="E103" s="9" t="s">
        <v>313</v>
      </c>
      <c r="F103" s="9" t="s">
        <v>314</v>
      </c>
      <c r="G103" s="20" t="n">
        <v>2</v>
      </c>
      <c r="H103" s="21" t="n">
        <f aca="false">IF(AND($L103="Yes",ISERROR(SEARCH("%",$F103))),$G103*'Cover &amp; Legend'!$C$12,0)</f>
        <v>0.3</v>
      </c>
      <c r="I103" s="21" t="n">
        <f aca="false">IF(ISERROR(SEARCH("%",$F103)),$G103+$H103,0)</f>
        <v>2.3</v>
      </c>
      <c r="J103" s="21" t="n">
        <v>100</v>
      </c>
      <c r="K103" s="9" t="s">
        <v>274</v>
      </c>
      <c r="L103" s="18" t="s">
        <v>95</v>
      </c>
      <c r="M103" s="22" t="s">
        <v>96</v>
      </c>
      <c r="N103" s="23" t="s">
        <v>114</v>
      </c>
    </row>
    <row r="104" customFormat="false" ht="30" hidden="false" customHeight="true" outlineLevel="0" collapsed="false">
      <c r="A104" s="18" t="s">
        <v>412</v>
      </c>
      <c r="B104" s="9" t="s">
        <v>44</v>
      </c>
      <c r="C104" s="9" t="s">
        <v>311</v>
      </c>
      <c r="D104" s="9" t="s">
        <v>413</v>
      </c>
      <c r="E104" s="9" t="s">
        <v>313</v>
      </c>
      <c r="F104" s="9" t="s">
        <v>314</v>
      </c>
      <c r="G104" s="20" t="n">
        <v>3.5</v>
      </c>
      <c r="H104" s="21" t="n">
        <f aca="false">IF(AND($L104="Yes",ISERROR(SEARCH("%",$F104))),$G104*'Cover &amp; Legend'!$C$12,0)</f>
        <v>0.525</v>
      </c>
      <c r="I104" s="21" t="n">
        <f aca="false">IF(ISERROR(SEARCH("%",$F104)),$G104+$H104,0)</f>
        <v>4.025</v>
      </c>
      <c r="J104" s="21" t="n">
        <v>100</v>
      </c>
      <c r="K104" s="9" t="s">
        <v>274</v>
      </c>
      <c r="L104" s="18" t="s">
        <v>95</v>
      </c>
      <c r="M104" s="24" t="s">
        <v>111</v>
      </c>
      <c r="N104" s="23" t="s">
        <v>320</v>
      </c>
    </row>
    <row r="105" customFormat="false" ht="30" hidden="false" customHeight="true" outlineLevel="0" collapsed="false">
      <c r="A105" s="18" t="s">
        <v>414</v>
      </c>
      <c r="B105" s="9" t="s">
        <v>44</v>
      </c>
      <c r="C105" s="9" t="s">
        <v>311</v>
      </c>
      <c r="D105" s="9" t="s">
        <v>415</v>
      </c>
      <c r="E105" s="9" t="s">
        <v>313</v>
      </c>
      <c r="F105" s="9" t="s">
        <v>314</v>
      </c>
      <c r="G105" s="20" t="n">
        <v>5</v>
      </c>
      <c r="H105" s="21" t="n">
        <f aca="false">IF(AND($L105="Yes",ISERROR(SEARCH("%",$F105))),$G105*'Cover &amp; Legend'!$C$12,0)</f>
        <v>0.75</v>
      </c>
      <c r="I105" s="21" t="n">
        <f aca="false">IF(ISERROR(SEARCH("%",$F105)),$G105+$H105,0)</f>
        <v>5.75</v>
      </c>
      <c r="J105" s="21" t="n">
        <v>100</v>
      </c>
      <c r="K105" s="9" t="s">
        <v>274</v>
      </c>
      <c r="L105" s="18" t="s">
        <v>95</v>
      </c>
      <c r="M105" s="24" t="s">
        <v>111</v>
      </c>
      <c r="N105" s="23" t="s">
        <v>320</v>
      </c>
    </row>
    <row r="106" customFormat="false" ht="30" hidden="false" customHeight="true" outlineLevel="0" collapsed="false">
      <c r="A106" s="18" t="s">
        <v>416</v>
      </c>
      <c r="B106" s="9" t="s">
        <v>44</v>
      </c>
      <c r="C106" s="9" t="s">
        <v>311</v>
      </c>
      <c r="D106" s="9" t="s">
        <v>417</v>
      </c>
      <c r="E106" s="9" t="s">
        <v>313</v>
      </c>
      <c r="F106" s="9" t="s">
        <v>314</v>
      </c>
      <c r="G106" s="25" t="n">
        <v>9</v>
      </c>
      <c r="H106" s="21" t="n">
        <f aca="false">IF(AND($L106="Yes",ISERROR(SEARCH("%",$F106))),$G106*'Cover &amp; Legend'!$C$12,0)</f>
        <v>1.35</v>
      </c>
      <c r="I106" s="21" t="n">
        <f aca="false">IF(ISERROR(SEARCH("%",$F106)),$G106+$H106,0)</f>
        <v>10.35</v>
      </c>
      <c r="J106" s="21" t="n">
        <v>150</v>
      </c>
      <c r="K106" s="9" t="s">
        <v>274</v>
      </c>
      <c r="L106" s="18" t="s">
        <v>95</v>
      </c>
      <c r="M106" s="26" t="s">
        <v>185</v>
      </c>
      <c r="N106" s="23" t="s">
        <v>418</v>
      </c>
    </row>
    <row r="107" customFormat="false" ht="30" hidden="false" customHeight="true" outlineLevel="0" collapsed="false">
      <c r="A107" s="18" t="s">
        <v>419</v>
      </c>
      <c r="B107" s="9" t="s">
        <v>44</v>
      </c>
      <c r="C107" s="9" t="s">
        <v>311</v>
      </c>
      <c r="D107" s="9" t="s">
        <v>420</v>
      </c>
      <c r="E107" s="9" t="s">
        <v>326</v>
      </c>
      <c r="F107" s="9" t="s">
        <v>314</v>
      </c>
      <c r="G107" s="25" t="n">
        <v>25</v>
      </c>
      <c r="H107" s="21" t="n">
        <f aca="false">IF(AND($L107="Yes",ISERROR(SEARCH("%",$F107))),$G107*'Cover &amp; Legend'!$C$12,0)</f>
        <v>3.75</v>
      </c>
      <c r="I107" s="21" t="n">
        <f aca="false">IF(ISERROR(SEARCH("%",$F107)),$G107+$H107,0)</f>
        <v>28.75</v>
      </c>
      <c r="J107" s="21" t="n">
        <v>250</v>
      </c>
      <c r="K107" s="9" t="s">
        <v>274</v>
      </c>
      <c r="L107" s="18" t="s">
        <v>95</v>
      </c>
      <c r="M107" s="26" t="s">
        <v>185</v>
      </c>
      <c r="N107" s="23" t="s">
        <v>421</v>
      </c>
    </row>
    <row r="108" customFormat="false" ht="30" hidden="false" customHeight="true" outlineLevel="0" collapsed="false">
      <c r="A108" s="18" t="s">
        <v>422</v>
      </c>
      <c r="B108" s="9" t="s">
        <v>44</v>
      </c>
      <c r="C108" s="9" t="s">
        <v>423</v>
      </c>
      <c r="D108" s="9" t="s">
        <v>424</v>
      </c>
      <c r="E108" s="9" t="s">
        <v>272</v>
      </c>
      <c r="F108" s="9" t="s">
        <v>273</v>
      </c>
      <c r="G108" s="25" t="n">
        <v>10</v>
      </c>
      <c r="H108" s="21" t="n">
        <f aca="false">IF(AND($L108="Yes",ISERROR(SEARCH("%",$F108))),$G108*'Cover &amp; Legend'!$C$12,0)</f>
        <v>1.5</v>
      </c>
      <c r="I108" s="21" t="n">
        <f aca="false">IF(ISERROR(SEARCH("%",$F108)),$G108+$H108,0)</f>
        <v>11.5</v>
      </c>
      <c r="J108" s="21" t="n">
        <v>100</v>
      </c>
      <c r="K108" s="9" t="s">
        <v>274</v>
      </c>
      <c r="L108" s="18" t="s">
        <v>95</v>
      </c>
      <c r="M108" s="26" t="s">
        <v>185</v>
      </c>
      <c r="N108" s="23" t="s">
        <v>425</v>
      </c>
    </row>
    <row r="109" customFormat="false" ht="30" hidden="false" customHeight="true" outlineLevel="0" collapsed="false">
      <c r="A109" s="18" t="s">
        <v>426</v>
      </c>
      <c r="B109" s="9" t="s">
        <v>44</v>
      </c>
      <c r="C109" s="9" t="s">
        <v>423</v>
      </c>
      <c r="D109" s="9" t="s">
        <v>427</v>
      </c>
      <c r="E109" s="9" t="s">
        <v>428</v>
      </c>
      <c r="F109" s="9" t="s">
        <v>429</v>
      </c>
      <c r="G109" s="25" t="n">
        <v>3</v>
      </c>
      <c r="H109" s="21" t="n">
        <f aca="false">IF(AND($L109="Yes",ISERROR(SEARCH("%",$F109))),$G109*'Cover &amp; Legend'!$C$12,0)</f>
        <v>0.45</v>
      </c>
      <c r="I109" s="21" t="n">
        <f aca="false">IF(ISERROR(SEARCH("%",$F109)),$G109+$H109,0)</f>
        <v>3.45</v>
      </c>
      <c r="J109" s="21" t="n">
        <v>100</v>
      </c>
      <c r="K109" s="9" t="s">
        <v>274</v>
      </c>
      <c r="L109" s="18" t="s">
        <v>95</v>
      </c>
      <c r="M109" s="26" t="s">
        <v>185</v>
      </c>
      <c r="N109" s="23" t="s">
        <v>421</v>
      </c>
    </row>
    <row r="110" customFormat="false" ht="30" hidden="false" customHeight="true" outlineLevel="0" collapsed="false">
      <c r="A110" s="18" t="s">
        <v>430</v>
      </c>
      <c r="B110" s="9" t="s">
        <v>44</v>
      </c>
      <c r="C110" s="9" t="s">
        <v>423</v>
      </c>
      <c r="D110" s="9" t="s">
        <v>431</v>
      </c>
      <c r="E110" s="9" t="s">
        <v>432</v>
      </c>
      <c r="F110" s="9" t="s">
        <v>314</v>
      </c>
      <c r="G110" s="25" t="n">
        <v>1.5</v>
      </c>
      <c r="H110" s="21" t="n">
        <f aca="false">IF(AND($L110="Yes",ISERROR(SEARCH("%",$F110))),$G110*'Cover &amp; Legend'!$C$12,0)</f>
        <v>0.225</v>
      </c>
      <c r="I110" s="21" t="n">
        <f aca="false">IF(ISERROR(SEARCH("%",$F110)),$G110+$H110,0)</f>
        <v>1.725</v>
      </c>
      <c r="J110" s="21" t="n">
        <v>100</v>
      </c>
      <c r="K110" s="9" t="s">
        <v>274</v>
      </c>
      <c r="L110" s="18" t="s">
        <v>95</v>
      </c>
      <c r="M110" s="26" t="s">
        <v>185</v>
      </c>
      <c r="N110" s="23" t="s">
        <v>421</v>
      </c>
    </row>
    <row r="111" customFormat="false" ht="30" hidden="false" customHeight="true" outlineLevel="0" collapsed="false">
      <c r="A111" s="18" t="s">
        <v>433</v>
      </c>
      <c r="B111" s="9" t="s">
        <v>44</v>
      </c>
      <c r="C111" s="9" t="s">
        <v>423</v>
      </c>
      <c r="D111" s="9" t="s">
        <v>434</v>
      </c>
      <c r="E111" s="9" t="s">
        <v>435</v>
      </c>
      <c r="F111" s="9" t="s">
        <v>436</v>
      </c>
      <c r="G111" s="25" t="n">
        <v>6</v>
      </c>
      <c r="H111" s="21" t="n">
        <f aca="false">IF(AND($L111="Yes",ISERROR(SEARCH("%",$F111))),$G111*'Cover &amp; Legend'!$C$12,0)</f>
        <v>0.9</v>
      </c>
      <c r="I111" s="21" t="n">
        <f aca="false">IF(ISERROR(SEARCH("%",$F111)),$G111+$H111,0)</f>
        <v>6.9</v>
      </c>
      <c r="J111" s="21" t="n">
        <v>150</v>
      </c>
      <c r="K111" s="9" t="s">
        <v>274</v>
      </c>
      <c r="L111" s="18" t="s">
        <v>95</v>
      </c>
      <c r="M111" s="26" t="s">
        <v>185</v>
      </c>
      <c r="N111" s="23" t="s">
        <v>437</v>
      </c>
    </row>
    <row r="112" customFormat="false" ht="30" hidden="false" customHeight="true" outlineLevel="0" collapsed="false">
      <c r="A112" s="18" t="s">
        <v>438</v>
      </c>
      <c r="B112" s="9" t="s">
        <v>44</v>
      </c>
      <c r="C112" s="9" t="s">
        <v>423</v>
      </c>
      <c r="D112" s="9" t="s">
        <v>439</v>
      </c>
      <c r="E112" s="9" t="s">
        <v>440</v>
      </c>
      <c r="F112" s="9" t="s">
        <v>371</v>
      </c>
      <c r="G112" s="25" t="n">
        <v>4</v>
      </c>
      <c r="H112" s="21" t="n">
        <f aca="false">IF(AND($L112="Yes",ISERROR(SEARCH("%",$F112))),$G112*'Cover &amp; Legend'!$C$12,0)</f>
        <v>0.6</v>
      </c>
      <c r="I112" s="21" t="n">
        <f aca="false">IF(ISERROR(SEARCH("%",$F112)),$G112+$H112,0)</f>
        <v>4.6</v>
      </c>
      <c r="J112" s="21" t="n">
        <v>100</v>
      </c>
      <c r="K112" s="9" t="s">
        <v>274</v>
      </c>
      <c r="L112" s="18" t="s">
        <v>95</v>
      </c>
      <c r="M112" s="26" t="s">
        <v>185</v>
      </c>
      <c r="N112" s="23" t="s">
        <v>441</v>
      </c>
    </row>
    <row r="113" customFormat="false" ht="30" hidden="false" customHeight="true" outlineLevel="0" collapsed="false">
      <c r="A113" s="18" t="s">
        <v>442</v>
      </c>
      <c r="B113" s="9" t="s">
        <v>44</v>
      </c>
      <c r="C113" s="9" t="s">
        <v>423</v>
      </c>
      <c r="D113" s="9" t="s">
        <v>443</v>
      </c>
      <c r="E113" s="9" t="s">
        <v>219</v>
      </c>
      <c r="F113" s="9" t="s">
        <v>367</v>
      </c>
      <c r="G113" s="25" t="n">
        <v>30</v>
      </c>
      <c r="H113" s="21" t="n">
        <f aca="false">IF(AND($L113="Yes",ISERROR(SEARCH("%",$F113))),$G113*'Cover &amp; Legend'!$C$12,0)</f>
        <v>4.5</v>
      </c>
      <c r="I113" s="21" t="n">
        <f aca="false">IF(ISERROR(SEARCH("%",$F113)),$G113+$H113,0)</f>
        <v>34.5</v>
      </c>
      <c r="J113" s="21" t="n">
        <v>60</v>
      </c>
      <c r="K113" s="9" t="s">
        <v>274</v>
      </c>
      <c r="L113" s="18" t="s">
        <v>95</v>
      </c>
      <c r="M113" s="26" t="s">
        <v>185</v>
      </c>
      <c r="N113" s="23" t="s">
        <v>444</v>
      </c>
    </row>
    <row r="114" customFormat="false" ht="30" hidden="false" customHeight="true" outlineLevel="0" collapsed="false">
      <c r="A114" s="18" t="s">
        <v>445</v>
      </c>
      <c r="B114" s="9" t="s">
        <v>44</v>
      </c>
      <c r="C114" s="9" t="s">
        <v>423</v>
      </c>
      <c r="D114" s="9" t="s">
        <v>446</v>
      </c>
      <c r="E114" s="9" t="s">
        <v>219</v>
      </c>
      <c r="F114" s="9" t="s">
        <v>447</v>
      </c>
      <c r="G114" s="25" t="n">
        <v>25</v>
      </c>
      <c r="H114" s="21" t="n">
        <f aca="false">IF(AND($L114="Yes",ISERROR(SEARCH("%",$F114))),$G114*'Cover &amp; Legend'!$C$12,0)</f>
        <v>3.75</v>
      </c>
      <c r="I114" s="21" t="n">
        <f aca="false">IF(ISERROR(SEARCH("%",$F114)),$G114+$H114,0)</f>
        <v>28.75</v>
      </c>
      <c r="J114" s="21" t="n">
        <v>25</v>
      </c>
      <c r="K114" s="9" t="s">
        <v>274</v>
      </c>
      <c r="L114" s="18" t="s">
        <v>95</v>
      </c>
      <c r="M114" s="26" t="s">
        <v>185</v>
      </c>
      <c r="N114" s="23" t="s">
        <v>448</v>
      </c>
    </row>
    <row r="115" customFormat="false" ht="30" hidden="false" customHeight="true" outlineLevel="0" collapsed="false">
      <c r="A115" s="18" t="s">
        <v>449</v>
      </c>
      <c r="B115" s="9" t="s">
        <v>44</v>
      </c>
      <c r="C115" s="9" t="s">
        <v>423</v>
      </c>
      <c r="D115" s="9" t="s">
        <v>450</v>
      </c>
      <c r="E115" s="9" t="s">
        <v>451</v>
      </c>
      <c r="F115" s="9" t="s">
        <v>278</v>
      </c>
      <c r="G115" s="25" t="n">
        <v>150</v>
      </c>
      <c r="H115" s="21" t="n">
        <f aca="false">IF(AND($L115="Yes",ISERROR(SEARCH("%",$F115))),$G115*'Cover &amp; Legend'!$C$12,0)</f>
        <v>22.5</v>
      </c>
      <c r="I115" s="21" t="n">
        <f aca="false">IF(ISERROR(SEARCH("%",$F115)),$G115+$H115,0)</f>
        <v>172.5</v>
      </c>
      <c r="J115" s="21" t="n">
        <v>150</v>
      </c>
      <c r="K115" s="9" t="s">
        <v>274</v>
      </c>
      <c r="L115" s="18" t="s">
        <v>95</v>
      </c>
      <c r="M115" s="26" t="s">
        <v>185</v>
      </c>
      <c r="N115" s="23" t="s">
        <v>452</v>
      </c>
    </row>
    <row r="116" customFormat="false" ht="30" hidden="false" customHeight="true" outlineLevel="0" collapsed="false">
      <c r="A116" s="18" t="s">
        <v>453</v>
      </c>
      <c r="B116" s="19" t="s">
        <v>46</v>
      </c>
      <c r="C116" s="9" t="s">
        <v>454</v>
      </c>
      <c r="D116" s="9" t="s">
        <v>455</v>
      </c>
      <c r="E116" s="9" t="s">
        <v>272</v>
      </c>
      <c r="F116" s="9" t="s">
        <v>298</v>
      </c>
      <c r="G116" s="20" t="n">
        <v>400</v>
      </c>
      <c r="H116" s="21" t="n">
        <f aca="false">IF(AND($L116="Yes",ISERROR(SEARCH("%",$F116))),$G116*'Cover &amp; Legend'!$C$12,0)</f>
        <v>60</v>
      </c>
      <c r="I116" s="21" t="n">
        <f aca="false">IF(ISERROR(SEARCH("%",$F116)),$G116+$H116,0)</f>
        <v>460</v>
      </c>
      <c r="J116" s="21" t="n">
        <v>400</v>
      </c>
      <c r="K116" s="9" t="s">
        <v>274</v>
      </c>
      <c r="L116" s="18" t="s">
        <v>95</v>
      </c>
      <c r="M116" s="22" t="s">
        <v>96</v>
      </c>
      <c r="N116" s="23" t="s">
        <v>456</v>
      </c>
    </row>
    <row r="117" customFormat="false" ht="30" hidden="false" customHeight="true" outlineLevel="0" collapsed="false">
      <c r="A117" s="18" t="s">
        <v>457</v>
      </c>
      <c r="B117" s="9" t="s">
        <v>46</v>
      </c>
      <c r="C117" s="9" t="s">
        <v>454</v>
      </c>
      <c r="D117" s="9" t="s">
        <v>458</v>
      </c>
      <c r="E117" s="9" t="s">
        <v>272</v>
      </c>
      <c r="F117" s="9" t="s">
        <v>298</v>
      </c>
      <c r="G117" s="20" t="n">
        <v>500</v>
      </c>
      <c r="H117" s="21" t="n">
        <f aca="false">IF(AND($L117="Yes",ISERROR(SEARCH("%",$F117))),$G117*'Cover &amp; Legend'!$C$12,0)</f>
        <v>75</v>
      </c>
      <c r="I117" s="21" t="n">
        <f aca="false">IF(ISERROR(SEARCH("%",$F117)),$G117+$H117,0)</f>
        <v>575</v>
      </c>
      <c r="J117" s="21" t="n">
        <v>500</v>
      </c>
      <c r="K117" s="9" t="s">
        <v>274</v>
      </c>
      <c r="L117" s="18" t="s">
        <v>95</v>
      </c>
      <c r="M117" s="22" t="s">
        <v>96</v>
      </c>
      <c r="N117" s="23" t="s">
        <v>459</v>
      </c>
    </row>
    <row r="118" customFormat="false" ht="30" hidden="false" customHeight="true" outlineLevel="0" collapsed="false">
      <c r="A118" s="18" t="s">
        <v>460</v>
      </c>
      <c r="B118" s="9" t="s">
        <v>46</v>
      </c>
      <c r="C118" s="9" t="s">
        <v>454</v>
      </c>
      <c r="D118" s="9" t="s">
        <v>461</v>
      </c>
      <c r="E118" s="9" t="s">
        <v>272</v>
      </c>
      <c r="F118" s="9" t="s">
        <v>298</v>
      </c>
      <c r="G118" s="20" t="n">
        <v>600</v>
      </c>
      <c r="H118" s="21" t="n">
        <f aca="false">IF(AND($L118="Yes",ISERROR(SEARCH("%",$F118))),$G118*'Cover &amp; Legend'!$C$12,0)</f>
        <v>90</v>
      </c>
      <c r="I118" s="21" t="n">
        <f aca="false">IF(ISERROR(SEARCH("%",$F118)),$G118+$H118,0)</f>
        <v>690</v>
      </c>
      <c r="J118" s="21" t="n">
        <v>600</v>
      </c>
      <c r="K118" s="9" t="s">
        <v>274</v>
      </c>
      <c r="L118" s="18" t="s">
        <v>95</v>
      </c>
      <c r="M118" s="22" t="s">
        <v>96</v>
      </c>
      <c r="N118" s="23" t="s">
        <v>459</v>
      </c>
    </row>
    <row r="119" customFormat="false" ht="30" hidden="false" customHeight="true" outlineLevel="0" collapsed="false">
      <c r="A119" s="18" t="s">
        <v>462</v>
      </c>
      <c r="B119" s="9" t="s">
        <v>46</v>
      </c>
      <c r="C119" s="9" t="s">
        <v>454</v>
      </c>
      <c r="D119" s="9" t="s">
        <v>463</v>
      </c>
      <c r="E119" s="9" t="s">
        <v>272</v>
      </c>
      <c r="F119" s="9" t="s">
        <v>298</v>
      </c>
      <c r="G119" s="20" t="n">
        <v>700</v>
      </c>
      <c r="H119" s="21" t="n">
        <f aca="false">IF(AND($L119="Yes",ISERROR(SEARCH("%",$F119))),$G119*'Cover &amp; Legend'!$C$12,0)</f>
        <v>105</v>
      </c>
      <c r="I119" s="21" t="n">
        <f aca="false">IF(ISERROR(SEARCH("%",$F119)),$G119+$H119,0)</f>
        <v>805</v>
      </c>
      <c r="J119" s="21" t="n">
        <v>700</v>
      </c>
      <c r="K119" s="9" t="s">
        <v>274</v>
      </c>
      <c r="L119" s="18" t="s">
        <v>95</v>
      </c>
      <c r="M119" s="22" t="s">
        <v>96</v>
      </c>
      <c r="N119" s="23" t="s">
        <v>459</v>
      </c>
    </row>
    <row r="120" customFormat="false" ht="30" hidden="false" customHeight="true" outlineLevel="0" collapsed="false">
      <c r="A120" s="18" t="s">
        <v>464</v>
      </c>
      <c r="B120" s="9" t="s">
        <v>46</v>
      </c>
      <c r="C120" s="9" t="s">
        <v>454</v>
      </c>
      <c r="D120" s="9" t="s">
        <v>465</v>
      </c>
      <c r="E120" s="9" t="s">
        <v>272</v>
      </c>
      <c r="F120" s="9" t="s">
        <v>278</v>
      </c>
      <c r="G120" s="20" t="n">
        <v>800</v>
      </c>
      <c r="H120" s="21" t="n">
        <f aca="false">IF(AND($L120="Yes",ISERROR(SEARCH("%",$F120))),$G120*'Cover &amp; Legend'!$C$12,0)</f>
        <v>120</v>
      </c>
      <c r="I120" s="21" t="n">
        <f aca="false">IF(ISERROR(SEARCH("%",$F120)),$G120+$H120,0)</f>
        <v>920</v>
      </c>
      <c r="J120" s="21" t="n">
        <v>800</v>
      </c>
      <c r="K120" s="9" t="s">
        <v>274</v>
      </c>
      <c r="L120" s="18" t="s">
        <v>95</v>
      </c>
      <c r="M120" s="22" t="s">
        <v>96</v>
      </c>
      <c r="N120" s="23" t="s">
        <v>459</v>
      </c>
    </row>
    <row r="121" customFormat="false" ht="30" hidden="false" customHeight="true" outlineLevel="0" collapsed="false">
      <c r="A121" s="18" t="s">
        <v>466</v>
      </c>
      <c r="B121" s="9" t="s">
        <v>46</v>
      </c>
      <c r="C121" s="9" t="s">
        <v>454</v>
      </c>
      <c r="D121" s="9" t="s">
        <v>467</v>
      </c>
      <c r="E121" s="9" t="s">
        <v>272</v>
      </c>
      <c r="F121" s="9" t="s">
        <v>278</v>
      </c>
      <c r="G121" s="20" t="n">
        <v>1000</v>
      </c>
      <c r="H121" s="21" t="n">
        <f aca="false">IF(AND($L121="Yes",ISERROR(SEARCH("%",$F121))),$G121*'Cover &amp; Legend'!$C$12,0)</f>
        <v>150</v>
      </c>
      <c r="I121" s="21" t="n">
        <f aca="false">IF(ISERROR(SEARCH("%",$F121)),$G121+$H121,0)</f>
        <v>1150</v>
      </c>
      <c r="J121" s="21" t="n">
        <v>1000</v>
      </c>
      <c r="K121" s="9" t="s">
        <v>274</v>
      </c>
      <c r="L121" s="18" t="s">
        <v>95</v>
      </c>
      <c r="M121" s="22" t="s">
        <v>96</v>
      </c>
      <c r="N121" s="23" t="s">
        <v>459</v>
      </c>
    </row>
    <row r="122" customFormat="false" ht="30" hidden="false" customHeight="true" outlineLevel="0" collapsed="false">
      <c r="A122" s="18" t="s">
        <v>468</v>
      </c>
      <c r="B122" s="9" t="s">
        <v>46</v>
      </c>
      <c r="C122" s="9" t="s">
        <v>469</v>
      </c>
      <c r="D122" s="9" t="s">
        <v>470</v>
      </c>
      <c r="E122" s="9" t="s">
        <v>272</v>
      </c>
      <c r="F122" s="9" t="s">
        <v>298</v>
      </c>
      <c r="G122" s="20" t="n">
        <v>500</v>
      </c>
      <c r="H122" s="21" t="n">
        <f aca="false">IF(AND($L122="Yes",ISERROR(SEARCH("%",$F122))),$G122*'Cover &amp; Legend'!$C$12,0)</f>
        <v>75</v>
      </c>
      <c r="I122" s="21" t="n">
        <f aca="false">IF(ISERROR(SEARCH("%",$F122)),$G122+$H122,0)</f>
        <v>575</v>
      </c>
      <c r="J122" s="21" t="n">
        <v>500</v>
      </c>
      <c r="K122" s="9" t="s">
        <v>274</v>
      </c>
      <c r="L122" s="18" t="s">
        <v>95</v>
      </c>
      <c r="M122" s="22" t="s">
        <v>96</v>
      </c>
      <c r="N122" s="23" t="s">
        <v>471</v>
      </c>
    </row>
    <row r="123" customFormat="false" ht="30" hidden="false" customHeight="true" outlineLevel="0" collapsed="false">
      <c r="A123" s="18" t="s">
        <v>472</v>
      </c>
      <c r="B123" s="9" t="s">
        <v>46</v>
      </c>
      <c r="C123" s="9" t="s">
        <v>469</v>
      </c>
      <c r="D123" s="9" t="s">
        <v>473</v>
      </c>
      <c r="E123" s="9" t="s">
        <v>272</v>
      </c>
      <c r="F123" s="9" t="s">
        <v>298</v>
      </c>
      <c r="G123" s="20" t="n">
        <v>600</v>
      </c>
      <c r="H123" s="21" t="n">
        <f aca="false">IF(AND($L123="Yes",ISERROR(SEARCH("%",$F123))),$G123*'Cover &amp; Legend'!$C$12,0)</f>
        <v>90</v>
      </c>
      <c r="I123" s="21" t="n">
        <f aca="false">IF(ISERROR(SEARCH("%",$F123)),$G123+$H123,0)</f>
        <v>690</v>
      </c>
      <c r="J123" s="21" t="n">
        <v>600</v>
      </c>
      <c r="K123" s="9" t="s">
        <v>274</v>
      </c>
      <c r="L123" s="18" t="s">
        <v>95</v>
      </c>
      <c r="M123" s="22" t="s">
        <v>96</v>
      </c>
      <c r="N123" s="23" t="s">
        <v>474</v>
      </c>
    </row>
    <row r="124" customFormat="false" ht="30" hidden="false" customHeight="true" outlineLevel="0" collapsed="false">
      <c r="A124" s="18" t="s">
        <v>475</v>
      </c>
      <c r="B124" s="9" t="s">
        <v>46</v>
      </c>
      <c r="C124" s="9" t="s">
        <v>469</v>
      </c>
      <c r="D124" s="9" t="s">
        <v>476</v>
      </c>
      <c r="E124" s="9" t="s">
        <v>272</v>
      </c>
      <c r="F124" s="9" t="s">
        <v>298</v>
      </c>
      <c r="G124" s="20" t="n">
        <v>700</v>
      </c>
      <c r="H124" s="21" t="n">
        <f aca="false">IF(AND($L124="Yes",ISERROR(SEARCH("%",$F124))),$G124*'Cover &amp; Legend'!$C$12,0)</f>
        <v>105</v>
      </c>
      <c r="I124" s="21" t="n">
        <f aca="false">IF(ISERROR(SEARCH("%",$F124)),$G124+$H124,0)</f>
        <v>805</v>
      </c>
      <c r="J124" s="21" t="n">
        <v>700</v>
      </c>
      <c r="K124" s="9" t="s">
        <v>274</v>
      </c>
      <c r="L124" s="18" t="s">
        <v>95</v>
      </c>
      <c r="M124" s="22" t="s">
        <v>96</v>
      </c>
      <c r="N124" s="23" t="s">
        <v>474</v>
      </c>
    </row>
    <row r="125" customFormat="false" ht="30" hidden="false" customHeight="true" outlineLevel="0" collapsed="false">
      <c r="A125" s="18" t="s">
        <v>477</v>
      </c>
      <c r="B125" s="9" t="s">
        <v>46</v>
      </c>
      <c r="C125" s="9" t="s">
        <v>469</v>
      </c>
      <c r="D125" s="9" t="s">
        <v>478</v>
      </c>
      <c r="E125" s="9" t="s">
        <v>272</v>
      </c>
      <c r="F125" s="9" t="s">
        <v>298</v>
      </c>
      <c r="G125" s="20" t="n">
        <v>800</v>
      </c>
      <c r="H125" s="21" t="n">
        <f aca="false">IF(AND($L125="Yes",ISERROR(SEARCH("%",$F125))),$G125*'Cover &amp; Legend'!$C$12,0)</f>
        <v>120</v>
      </c>
      <c r="I125" s="21" t="n">
        <f aca="false">IF(ISERROR(SEARCH("%",$F125)),$G125+$H125,0)</f>
        <v>920</v>
      </c>
      <c r="J125" s="21" t="n">
        <v>800</v>
      </c>
      <c r="K125" s="9" t="s">
        <v>274</v>
      </c>
      <c r="L125" s="18" t="s">
        <v>95</v>
      </c>
      <c r="M125" s="22" t="s">
        <v>96</v>
      </c>
      <c r="N125" s="23" t="s">
        <v>474</v>
      </c>
    </row>
    <row r="126" customFormat="false" ht="30" hidden="false" customHeight="true" outlineLevel="0" collapsed="false">
      <c r="A126" s="18" t="s">
        <v>479</v>
      </c>
      <c r="B126" s="9" t="s">
        <v>46</v>
      </c>
      <c r="C126" s="9" t="s">
        <v>469</v>
      </c>
      <c r="D126" s="9" t="s">
        <v>480</v>
      </c>
      <c r="E126" s="9" t="s">
        <v>272</v>
      </c>
      <c r="F126" s="9" t="s">
        <v>278</v>
      </c>
      <c r="G126" s="20" t="n">
        <v>900</v>
      </c>
      <c r="H126" s="21" t="n">
        <f aca="false">IF(AND($L126="Yes",ISERROR(SEARCH("%",$F126))),$G126*'Cover &amp; Legend'!$C$12,0)</f>
        <v>135</v>
      </c>
      <c r="I126" s="21" t="n">
        <f aca="false">IF(ISERROR(SEARCH("%",$F126)),$G126+$H126,0)</f>
        <v>1035</v>
      </c>
      <c r="J126" s="21" t="n">
        <v>900</v>
      </c>
      <c r="K126" s="9" t="s">
        <v>274</v>
      </c>
      <c r="L126" s="18" t="s">
        <v>95</v>
      </c>
      <c r="M126" s="22" t="s">
        <v>96</v>
      </c>
      <c r="N126" s="23" t="s">
        <v>474</v>
      </c>
    </row>
    <row r="127" customFormat="false" ht="30" hidden="false" customHeight="true" outlineLevel="0" collapsed="false">
      <c r="A127" s="18" t="s">
        <v>481</v>
      </c>
      <c r="B127" s="9" t="s">
        <v>46</v>
      </c>
      <c r="C127" s="9" t="s">
        <v>469</v>
      </c>
      <c r="D127" s="9" t="s">
        <v>482</v>
      </c>
      <c r="E127" s="9" t="s">
        <v>272</v>
      </c>
      <c r="F127" s="9" t="s">
        <v>278</v>
      </c>
      <c r="G127" s="20" t="n">
        <v>1100</v>
      </c>
      <c r="H127" s="21" t="n">
        <f aca="false">IF(AND($L127="Yes",ISERROR(SEARCH("%",$F127))),$G127*'Cover &amp; Legend'!$C$12,0)</f>
        <v>165</v>
      </c>
      <c r="I127" s="21" t="n">
        <f aca="false">IF(ISERROR(SEARCH("%",$F127)),$G127+$H127,0)</f>
        <v>1265</v>
      </c>
      <c r="J127" s="21" t="n">
        <v>1100</v>
      </c>
      <c r="K127" s="9" t="s">
        <v>274</v>
      </c>
      <c r="L127" s="18" t="s">
        <v>95</v>
      </c>
      <c r="M127" s="22" t="s">
        <v>96</v>
      </c>
      <c r="N127" s="23" t="s">
        <v>474</v>
      </c>
    </row>
    <row r="128" customFormat="false" ht="30" hidden="false" customHeight="true" outlineLevel="0" collapsed="false">
      <c r="A128" s="18" t="s">
        <v>483</v>
      </c>
      <c r="B128" s="9" t="s">
        <v>46</v>
      </c>
      <c r="C128" s="9" t="s">
        <v>469</v>
      </c>
      <c r="D128" s="9" t="s">
        <v>484</v>
      </c>
      <c r="E128" s="9" t="s">
        <v>289</v>
      </c>
      <c r="F128" s="9" t="s">
        <v>485</v>
      </c>
      <c r="G128" s="27" t="n">
        <v>0.4</v>
      </c>
      <c r="H128" s="21" t="n">
        <f aca="false">IF(AND($L128="Yes",ISERROR(SEARCH("%",$F128))),$G128*'Cover &amp; Legend'!$C$12,0)</f>
        <v>0</v>
      </c>
      <c r="I128" s="21" t="n">
        <f aca="false">IF(ISERROR(SEARCH("%",$F128)),$G128+$H128,0)</f>
        <v>0</v>
      </c>
      <c r="J128" s="21" t="n">
        <v>0</v>
      </c>
      <c r="K128" s="9" t="s">
        <v>274</v>
      </c>
      <c r="L128" s="18" t="s">
        <v>95</v>
      </c>
      <c r="M128" s="26" t="s">
        <v>185</v>
      </c>
      <c r="N128" s="23" t="s">
        <v>486</v>
      </c>
    </row>
    <row r="129" customFormat="false" ht="30" hidden="false" customHeight="true" outlineLevel="0" collapsed="false">
      <c r="A129" s="18" t="s">
        <v>487</v>
      </c>
      <c r="B129" s="9" t="s">
        <v>46</v>
      </c>
      <c r="C129" s="9" t="s">
        <v>488</v>
      </c>
      <c r="D129" s="9" t="s">
        <v>489</v>
      </c>
      <c r="E129" s="9" t="s">
        <v>219</v>
      </c>
      <c r="F129" s="9" t="s">
        <v>273</v>
      </c>
      <c r="G129" s="25" t="n">
        <v>12</v>
      </c>
      <c r="H129" s="21" t="n">
        <f aca="false">IF(AND($L129="Yes",ISERROR(SEARCH("%",$F129))),$G129*'Cover &amp; Legend'!$C$12,0)</f>
        <v>1.8</v>
      </c>
      <c r="I129" s="21" t="n">
        <f aca="false">IF(ISERROR(SEARCH("%",$F129)),$G129+$H129,0)</f>
        <v>13.8</v>
      </c>
      <c r="J129" s="21" t="n">
        <v>120</v>
      </c>
      <c r="K129" s="9" t="s">
        <v>274</v>
      </c>
      <c r="L129" s="18" t="s">
        <v>95</v>
      </c>
      <c r="M129" s="26" t="s">
        <v>185</v>
      </c>
      <c r="N129" s="23" t="s">
        <v>490</v>
      </c>
    </row>
    <row r="130" customFormat="false" ht="30" hidden="false" customHeight="true" outlineLevel="0" collapsed="false">
      <c r="A130" s="18" t="s">
        <v>491</v>
      </c>
      <c r="B130" s="9" t="s">
        <v>46</v>
      </c>
      <c r="C130" s="9" t="s">
        <v>488</v>
      </c>
      <c r="D130" s="9" t="s">
        <v>492</v>
      </c>
      <c r="E130" s="9" t="s">
        <v>219</v>
      </c>
      <c r="F130" s="9" t="s">
        <v>273</v>
      </c>
      <c r="G130" s="25" t="n">
        <v>12</v>
      </c>
      <c r="H130" s="21" t="n">
        <f aca="false">IF(AND($L130="Yes",ISERROR(SEARCH("%",$F130))),$G130*'Cover &amp; Legend'!$C$12,0)</f>
        <v>1.8</v>
      </c>
      <c r="I130" s="21" t="n">
        <f aca="false">IF(ISERROR(SEARCH("%",$F130)),$G130+$H130,0)</f>
        <v>13.8</v>
      </c>
      <c r="J130" s="21" t="n">
        <v>120</v>
      </c>
      <c r="K130" s="9" t="s">
        <v>274</v>
      </c>
      <c r="L130" s="18" t="s">
        <v>95</v>
      </c>
      <c r="M130" s="26" t="s">
        <v>185</v>
      </c>
      <c r="N130" s="23" t="s">
        <v>421</v>
      </c>
    </row>
    <row r="131" customFormat="false" ht="30" hidden="false" customHeight="true" outlineLevel="0" collapsed="false">
      <c r="A131" s="18" t="s">
        <v>493</v>
      </c>
      <c r="B131" s="19" t="s">
        <v>48</v>
      </c>
      <c r="C131" s="9" t="s">
        <v>494</v>
      </c>
      <c r="D131" s="9" t="s">
        <v>495</v>
      </c>
      <c r="E131" s="9" t="s">
        <v>219</v>
      </c>
      <c r="F131" s="9" t="s">
        <v>496</v>
      </c>
      <c r="G131" s="20" t="n">
        <v>12</v>
      </c>
      <c r="H131" s="21" t="n">
        <f aca="false">IF(AND($L131="Yes",ISERROR(SEARCH("%",$F131))),$G131*'Cover &amp; Legend'!$C$12,0)</f>
        <v>1.8</v>
      </c>
      <c r="I131" s="21" t="n">
        <f aca="false">IF(ISERROR(SEARCH("%",$F131)),$G131+$H131,0)</f>
        <v>13.8</v>
      </c>
      <c r="J131" s="21" t="n">
        <v>60</v>
      </c>
      <c r="K131" s="9" t="s">
        <v>274</v>
      </c>
      <c r="L131" s="18" t="s">
        <v>95</v>
      </c>
      <c r="M131" s="22" t="s">
        <v>96</v>
      </c>
      <c r="N131" s="23" t="s">
        <v>497</v>
      </c>
    </row>
    <row r="132" customFormat="false" ht="30" hidden="false" customHeight="true" outlineLevel="0" collapsed="false">
      <c r="A132" s="18" t="s">
        <v>498</v>
      </c>
      <c r="B132" s="9" t="s">
        <v>48</v>
      </c>
      <c r="C132" s="9" t="s">
        <v>494</v>
      </c>
      <c r="D132" s="9" t="s">
        <v>499</v>
      </c>
      <c r="E132" s="9" t="s">
        <v>500</v>
      </c>
      <c r="F132" s="9" t="s">
        <v>496</v>
      </c>
      <c r="G132" s="20" t="n">
        <v>35</v>
      </c>
      <c r="H132" s="21" t="n">
        <f aca="false">IF(AND($L132="Yes",ISERROR(SEARCH("%",$F132))),$G132*'Cover &amp; Legend'!$C$12,0)</f>
        <v>5.25</v>
      </c>
      <c r="I132" s="21" t="n">
        <f aca="false">IF(ISERROR(SEARCH("%",$F132)),$G132+$H132,0)</f>
        <v>40.25</v>
      </c>
      <c r="J132" s="21" t="n">
        <v>70</v>
      </c>
      <c r="K132" s="9" t="s">
        <v>274</v>
      </c>
      <c r="L132" s="18" t="s">
        <v>95</v>
      </c>
      <c r="M132" s="22" t="s">
        <v>96</v>
      </c>
      <c r="N132" s="23" t="s">
        <v>501</v>
      </c>
    </row>
    <row r="133" customFormat="false" ht="30" hidden="false" customHeight="true" outlineLevel="0" collapsed="false">
      <c r="A133" s="18" t="s">
        <v>502</v>
      </c>
      <c r="B133" s="9" t="s">
        <v>48</v>
      </c>
      <c r="C133" s="9" t="s">
        <v>494</v>
      </c>
      <c r="D133" s="9" t="s">
        <v>503</v>
      </c>
      <c r="E133" s="9" t="s">
        <v>219</v>
      </c>
      <c r="F133" s="9" t="s">
        <v>273</v>
      </c>
      <c r="G133" s="25" t="n">
        <v>15</v>
      </c>
      <c r="H133" s="21" t="n">
        <f aca="false">IF(AND($L133="Yes",ISERROR(SEARCH("%",$F133))),$G133*'Cover &amp; Legend'!$C$12,0)</f>
        <v>2.25</v>
      </c>
      <c r="I133" s="21" t="n">
        <f aca="false">IF(ISERROR(SEARCH("%",$F133)),$G133+$H133,0)</f>
        <v>17.25</v>
      </c>
      <c r="J133" s="21" t="n">
        <v>75</v>
      </c>
      <c r="K133" s="9" t="s">
        <v>274</v>
      </c>
      <c r="L133" s="18" t="s">
        <v>95</v>
      </c>
      <c r="M133" s="26" t="s">
        <v>185</v>
      </c>
      <c r="N133" s="23" t="s">
        <v>504</v>
      </c>
    </row>
    <row r="134" customFormat="false" ht="30" hidden="false" customHeight="true" outlineLevel="0" collapsed="false">
      <c r="A134" s="18" t="s">
        <v>505</v>
      </c>
      <c r="B134" s="9" t="s">
        <v>48</v>
      </c>
      <c r="C134" s="9" t="s">
        <v>506</v>
      </c>
      <c r="D134" s="9" t="s">
        <v>507</v>
      </c>
      <c r="E134" s="9" t="s">
        <v>219</v>
      </c>
      <c r="F134" s="9" t="s">
        <v>273</v>
      </c>
      <c r="G134" s="20" t="n">
        <v>75</v>
      </c>
      <c r="H134" s="21" t="n">
        <f aca="false">IF(AND($L134="Yes",ISERROR(SEARCH("%",$F134))),$G134*'Cover &amp; Legend'!$C$12,0)</f>
        <v>11.25</v>
      </c>
      <c r="I134" s="21" t="n">
        <f aca="false">IF(ISERROR(SEARCH("%",$F134)),$G134+$H134,0)</f>
        <v>86.25</v>
      </c>
      <c r="J134" s="21" t="n">
        <v>375</v>
      </c>
      <c r="K134" s="9" t="s">
        <v>274</v>
      </c>
      <c r="L134" s="18" t="s">
        <v>95</v>
      </c>
      <c r="M134" s="22" t="s">
        <v>96</v>
      </c>
      <c r="N134" s="23" t="s">
        <v>508</v>
      </c>
    </row>
    <row r="135" customFormat="false" ht="30" hidden="false" customHeight="true" outlineLevel="0" collapsed="false">
      <c r="A135" s="18" t="s">
        <v>509</v>
      </c>
      <c r="B135" s="9" t="s">
        <v>48</v>
      </c>
      <c r="C135" s="9" t="s">
        <v>506</v>
      </c>
      <c r="D135" s="9" t="s">
        <v>510</v>
      </c>
      <c r="E135" s="9" t="s">
        <v>289</v>
      </c>
      <c r="F135" s="9" t="s">
        <v>273</v>
      </c>
      <c r="G135" s="25" t="n">
        <v>45</v>
      </c>
      <c r="H135" s="21" t="n">
        <f aca="false">IF(AND($L135="Yes",ISERROR(SEARCH("%",$F135))),$G135*'Cover &amp; Legend'!$C$12,0)</f>
        <v>6.75</v>
      </c>
      <c r="I135" s="21" t="n">
        <f aca="false">IF(ISERROR(SEARCH("%",$F135)),$G135+$H135,0)</f>
        <v>51.75</v>
      </c>
      <c r="J135" s="21" t="n">
        <v>225</v>
      </c>
      <c r="K135" s="9" t="s">
        <v>274</v>
      </c>
      <c r="L135" s="18" t="s">
        <v>95</v>
      </c>
      <c r="M135" s="26" t="s">
        <v>185</v>
      </c>
      <c r="N135" s="23" t="s">
        <v>511</v>
      </c>
    </row>
    <row r="136" customFormat="false" ht="30" hidden="false" customHeight="true" outlineLevel="0" collapsed="false">
      <c r="A136" s="18" t="s">
        <v>512</v>
      </c>
      <c r="B136" s="9" t="s">
        <v>48</v>
      </c>
      <c r="C136" s="9" t="s">
        <v>506</v>
      </c>
      <c r="D136" s="9" t="s">
        <v>513</v>
      </c>
      <c r="E136" s="9" t="s">
        <v>219</v>
      </c>
      <c r="F136" s="9" t="s">
        <v>273</v>
      </c>
      <c r="G136" s="25" t="n">
        <v>35</v>
      </c>
      <c r="H136" s="21" t="n">
        <f aca="false">IF(AND($L136="Yes",ISERROR(SEARCH("%",$F136))),$G136*'Cover &amp; Legend'!$C$12,0)</f>
        <v>5.25</v>
      </c>
      <c r="I136" s="21" t="n">
        <f aca="false">IF(ISERROR(SEARCH("%",$F136)),$G136+$H136,0)</f>
        <v>40.25</v>
      </c>
      <c r="J136" s="21" t="n">
        <v>175</v>
      </c>
      <c r="K136" s="9" t="s">
        <v>274</v>
      </c>
      <c r="L136" s="18" t="s">
        <v>95</v>
      </c>
      <c r="M136" s="26" t="s">
        <v>185</v>
      </c>
      <c r="N136" s="23" t="s">
        <v>421</v>
      </c>
    </row>
    <row r="137" customFormat="false" ht="30" hidden="false" customHeight="true" outlineLevel="0" collapsed="false">
      <c r="A137" s="18" t="s">
        <v>514</v>
      </c>
      <c r="B137" s="9" t="s">
        <v>48</v>
      </c>
      <c r="C137" s="9" t="s">
        <v>506</v>
      </c>
      <c r="D137" s="9" t="s">
        <v>515</v>
      </c>
      <c r="E137" s="9" t="s">
        <v>219</v>
      </c>
      <c r="F137" s="9" t="s">
        <v>273</v>
      </c>
      <c r="G137" s="25" t="n">
        <v>25</v>
      </c>
      <c r="H137" s="21" t="n">
        <f aca="false">IF(AND($L137="Yes",ISERROR(SEARCH("%",$F137))),$G137*'Cover &amp; Legend'!$C$12,0)</f>
        <v>3.75</v>
      </c>
      <c r="I137" s="21" t="n">
        <f aca="false">IF(ISERROR(SEARCH("%",$F137)),$G137+$H137,0)</f>
        <v>28.75</v>
      </c>
      <c r="J137" s="21" t="n">
        <v>125</v>
      </c>
      <c r="K137" s="9" t="s">
        <v>274</v>
      </c>
      <c r="L137" s="18" t="s">
        <v>95</v>
      </c>
      <c r="M137" s="26" t="s">
        <v>185</v>
      </c>
      <c r="N137" s="23" t="s">
        <v>421</v>
      </c>
    </row>
    <row r="138" customFormat="false" ht="30" hidden="false" customHeight="true" outlineLevel="0" collapsed="false">
      <c r="A138" s="18" t="s">
        <v>516</v>
      </c>
      <c r="B138" s="9" t="s">
        <v>48</v>
      </c>
      <c r="C138" s="9" t="s">
        <v>517</v>
      </c>
      <c r="D138" s="9" t="s">
        <v>518</v>
      </c>
      <c r="E138" s="9" t="s">
        <v>219</v>
      </c>
      <c r="F138" s="9" t="s">
        <v>314</v>
      </c>
      <c r="G138" s="25" t="n">
        <v>1</v>
      </c>
      <c r="H138" s="21" t="n">
        <f aca="false">IF(AND($L138="Yes",ISERROR(SEARCH("%",$F138))),$G138*'Cover &amp; Legend'!$C$12,0)</f>
        <v>0.15</v>
      </c>
      <c r="I138" s="21" t="n">
        <f aca="false">IF(ISERROR(SEARCH("%",$F138)),$G138+$H138,0)</f>
        <v>1.15</v>
      </c>
      <c r="J138" s="21" t="n">
        <v>100</v>
      </c>
      <c r="K138" s="9" t="s">
        <v>274</v>
      </c>
      <c r="L138" s="18" t="s">
        <v>95</v>
      </c>
      <c r="M138" s="26" t="s">
        <v>185</v>
      </c>
      <c r="N138" s="23" t="s">
        <v>519</v>
      </c>
    </row>
    <row r="139" customFormat="false" ht="30" hidden="false" customHeight="true" outlineLevel="0" collapsed="false">
      <c r="A139" s="18" t="s">
        <v>520</v>
      </c>
      <c r="B139" s="9" t="s">
        <v>48</v>
      </c>
      <c r="C139" s="9" t="s">
        <v>517</v>
      </c>
      <c r="D139" s="9" t="s">
        <v>521</v>
      </c>
      <c r="E139" s="9" t="s">
        <v>522</v>
      </c>
      <c r="F139" s="9" t="s">
        <v>314</v>
      </c>
      <c r="G139" s="25" t="n">
        <v>1.5</v>
      </c>
      <c r="H139" s="21" t="n">
        <f aca="false">IF(AND($L139="Yes",ISERROR(SEARCH("%",$F139))),$G139*'Cover &amp; Legend'!$C$12,0)</f>
        <v>0.225</v>
      </c>
      <c r="I139" s="21" t="n">
        <f aca="false">IF(ISERROR(SEARCH("%",$F139)),$G139+$H139,0)</f>
        <v>1.725</v>
      </c>
      <c r="J139" s="21" t="n">
        <v>150</v>
      </c>
      <c r="K139" s="9" t="s">
        <v>274</v>
      </c>
      <c r="L139" s="18" t="s">
        <v>95</v>
      </c>
      <c r="M139" s="26" t="s">
        <v>185</v>
      </c>
      <c r="N139" s="23" t="s">
        <v>523</v>
      </c>
    </row>
    <row r="140" customFormat="false" ht="30" hidden="false" customHeight="true" outlineLevel="0" collapsed="false">
      <c r="A140" s="18" t="s">
        <v>524</v>
      </c>
      <c r="B140" s="9" t="s">
        <v>48</v>
      </c>
      <c r="C140" s="9" t="s">
        <v>517</v>
      </c>
      <c r="D140" s="9" t="s">
        <v>525</v>
      </c>
      <c r="E140" s="9" t="s">
        <v>219</v>
      </c>
      <c r="F140" s="9" t="s">
        <v>314</v>
      </c>
      <c r="G140" s="25" t="n">
        <v>1.5</v>
      </c>
      <c r="H140" s="21" t="n">
        <f aca="false">IF(AND($L140="Yes",ISERROR(SEARCH("%",$F140))),$G140*'Cover &amp; Legend'!$C$12,0)</f>
        <v>0.225</v>
      </c>
      <c r="I140" s="21" t="n">
        <f aca="false">IF(ISERROR(SEARCH("%",$F140)),$G140+$H140,0)</f>
        <v>1.725</v>
      </c>
      <c r="J140" s="21" t="n">
        <v>150</v>
      </c>
      <c r="K140" s="9" t="s">
        <v>274</v>
      </c>
      <c r="L140" s="18" t="s">
        <v>95</v>
      </c>
      <c r="M140" s="26" t="s">
        <v>185</v>
      </c>
      <c r="N140" s="23" t="s">
        <v>421</v>
      </c>
    </row>
    <row r="141" customFormat="false" ht="30" hidden="false" customHeight="true" outlineLevel="0" collapsed="false">
      <c r="A141" s="18" t="s">
        <v>526</v>
      </c>
      <c r="B141" s="9" t="s">
        <v>48</v>
      </c>
      <c r="C141" s="9" t="s">
        <v>517</v>
      </c>
      <c r="D141" s="9" t="s">
        <v>527</v>
      </c>
      <c r="E141" s="9" t="s">
        <v>528</v>
      </c>
      <c r="F141" s="9" t="s">
        <v>429</v>
      </c>
      <c r="G141" s="25" t="n">
        <v>3</v>
      </c>
      <c r="H141" s="21" t="n">
        <f aca="false">IF(AND($L141="Yes",ISERROR(SEARCH("%",$F141))),$G141*'Cover &amp; Legend'!$C$12,0)</f>
        <v>0.45</v>
      </c>
      <c r="I141" s="21" t="n">
        <f aca="false">IF(ISERROR(SEARCH("%",$F141)),$G141+$H141,0)</f>
        <v>3.45</v>
      </c>
      <c r="J141" s="21" t="n">
        <v>150</v>
      </c>
      <c r="K141" s="9" t="s">
        <v>274</v>
      </c>
      <c r="L141" s="18" t="s">
        <v>95</v>
      </c>
      <c r="M141" s="26" t="s">
        <v>185</v>
      </c>
      <c r="N141" s="23" t="s">
        <v>421</v>
      </c>
    </row>
    <row r="142" customFormat="false" ht="30" hidden="false" customHeight="true" outlineLevel="0" collapsed="false">
      <c r="A142" s="18" t="s">
        <v>529</v>
      </c>
      <c r="B142" s="9" t="s">
        <v>48</v>
      </c>
      <c r="C142" s="9" t="s">
        <v>517</v>
      </c>
      <c r="D142" s="9" t="s">
        <v>530</v>
      </c>
      <c r="E142" s="9" t="s">
        <v>440</v>
      </c>
      <c r="F142" s="9" t="s">
        <v>314</v>
      </c>
      <c r="G142" s="25" t="n">
        <v>1.2</v>
      </c>
      <c r="H142" s="21" t="n">
        <f aca="false">IF(AND($L142="Yes",ISERROR(SEARCH("%",$F142))),$G142*'Cover &amp; Legend'!$C$12,0)</f>
        <v>0.18</v>
      </c>
      <c r="I142" s="21" t="n">
        <f aca="false">IF(ISERROR(SEARCH("%",$F142)),$G142+$H142,0)</f>
        <v>1.38</v>
      </c>
      <c r="J142" s="21" t="n">
        <v>150</v>
      </c>
      <c r="K142" s="9" t="s">
        <v>274</v>
      </c>
      <c r="L142" s="18" t="s">
        <v>95</v>
      </c>
      <c r="M142" s="26" t="s">
        <v>185</v>
      </c>
      <c r="N142" s="23" t="s">
        <v>421</v>
      </c>
    </row>
    <row r="143" customFormat="false" ht="30" hidden="false" customHeight="true" outlineLevel="0" collapsed="false">
      <c r="A143" s="18" t="s">
        <v>531</v>
      </c>
      <c r="B143" s="9" t="s">
        <v>48</v>
      </c>
      <c r="C143" s="9" t="s">
        <v>532</v>
      </c>
      <c r="D143" s="9" t="s">
        <v>533</v>
      </c>
      <c r="E143" s="9" t="s">
        <v>534</v>
      </c>
      <c r="F143" s="9" t="s">
        <v>535</v>
      </c>
      <c r="G143" s="25" t="n">
        <v>5</v>
      </c>
      <c r="H143" s="21" t="n">
        <f aca="false">IF(AND($L143="Yes",ISERROR(SEARCH("%",$F143))),$G143*'Cover &amp; Legend'!$C$12,0)</f>
        <v>0.75</v>
      </c>
      <c r="I143" s="21" t="n">
        <f aca="false">IF(ISERROR(SEARCH("%",$F143)),$G143+$H143,0)</f>
        <v>5.75</v>
      </c>
      <c r="J143" s="21" t="n">
        <v>250</v>
      </c>
      <c r="K143" s="9" t="s">
        <v>274</v>
      </c>
      <c r="L143" s="18" t="s">
        <v>95</v>
      </c>
      <c r="M143" s="26" t="s">
        <v>185</v>
      </c>
      <c r="N143" s="23" t="s">
        <v>536</v>
      </c>
    </row>
    <row r="144" customFormat="false" ht="30" hidden="false" customHeight="true" outlineLevel="0" collapsed="false">
      <c r="A144" s="18" t="s">
        <v>537</v>
      </c>
      <c r="B144" s="9" t="s">
        <v>48</v>
      </c>
      <c r="C144" s="9" t="s">
        <v>532</v>
      </c>
      <c r="D144" s="9" t="s">
        <v>538</v>
      </c>
      <c r="E144" s="9" t="s">
        <v>539</v>
      </c>
      <c r="F144" s="9" t="s">
        <v>535</v>
      </c>
      <c r="G144" s="25" t="n">
        <v>4</v>
      </c>
      <c r="H144" s="21" t="n">
        <f aca="false">IF(AND($L144="Yes",ISERROR(SEARCH("%",$F144))),$G144*'Cover &amp; Legend'!$C$12,0)</f>
        <v>0.6</v>
      </c>
      <c r="I144" s="21" t="n">
        <f aca="false">IF(ISERROR(SEARCH("%",$F144)),$G144+$H144,0)</f>
        <v>4.6</v>
      </c>
      <c r="J144" s="21" t="n">
        <v>200</v>
      </c>
      <c r="K144" s="9" t="s">
        <v>274</v>
      </c>
      <c r="L144" s="18" t="s">
        <v>95</v>
      </c>
      <c r="M144" s="26" t="s">
        <v>185</v>
      </c>
      <c r="N144" s="23" t="s">
        <v>421</v>
      </c>
    </row>
    <row r="145" customFormat="false" ht="30" hidden="false" customHeight="true" outlineLevel="0" collapsed="false">
      <c r="A145" s="18" t="s">
        <v>540</v>
      </c>
      <c r="B145" s="9" t="s">
        <v>48</v>
      </c>
      <c r="C145" s="9" t="s">
        <v>532</v>
      </c>
      <c r="D145" s="9" t="s">
        <v>541</v>
      </c>
      <c r="E145" s="9" t="s">
        <v>219</v>
      </c>
      <c r="F145" s="9" t="s">
        <v>429</v>
      </c>
      <c r="G145" s="25" t="n">
        <v>8</v>
      </c>
      <c r="H145" s="21" t="n">
        <f aca="false">IF(AND($L145="Yes",ISERROR(SEARCH("%",$F145))),$G145*'Cover &amp; Legend'!$C$12,0)</f>
        <v>1.2</v>
      </c>
      <c r="I145" s="21" t="n">
        <f aca="false">IF(ISERROR(SEARCH("%",$F145)),$G145+$H145,0)</f>
        <v>9.2</v>
      </c>
      <c r="J145" s="21" t="n">
        <v>200</v>
      </c>
      <c r="K145" s="9" t="s">
        <v>274</v>
      </c>
      <c r="L145" s="18" t="s">
        <v>95</v>
      </c>
      <c r="M145" s="26" t="s">
        <v>185</v>
      </c>
      <c r="N145" s="23" t="s">
        <v>542</v>
      </c>
    </row>
    <row r="146" customFormat="false" ht="30" hidden="false" customHeight="true" outlineLevel="0" collapsed="false">
      <c r="A146" s="18" t="s">
        <v>543</v>
      </c>
      <c r="B146" s="9" t="s">
        <v>48</v>
      </c>
      <c r="C146" s="9" t="s">
        <v>532</v>
      </c>
      <c r="D146" s="9" t="s">
        <v>544</v>
      </c>
      <c r="E146" s="9" t="s">
        <v>219</v>
      </c>
      <c r="F146" s="9" t="s">
        <v>545</v>
      </c>
      <c r="G146" s="25" t="n">
        <v>60</v>
      </c>
      <c r="H146" s="21" t="n">
        <f aca="false">IF(AND($L146="Yes",ISERROR(SEARCH("%",$F146))),$G146*'Cover &amp; Legend'!$C$12,0)</f>
        <v>9</v>
      </c>
      <c r="I146" s="21" t="n">
        <f aca="false">IF(ISERROR(SEARCH("%",$F146)),$G146+$H146,0)</f>
        <v>69</v>
      </c>
      <c r="J146" s="21" t="n">
        <v>120</v>
      </c>
      <c r="K146" s="9" t="s">
        <v>274</v>
      </c>
      <c r="L146" s="18" t="s">
        <v>95</v>
      </c>
      <c r="M146" s="26" t="s">
        <v>185</v>
      </c>
      <c r="N146" s="23" t="s">
        <v>421</v>
      </c>
    </row>
    <row r="147" customFormat="false" ht="30" hidden="false" customHeight="true" outlineLevel="0" collapsed="false">
      <c r="A147" s="18" t="s">
        <v>546</v>
      </c>
      <c r="B147" s="9" t="s">
        <v>48</v>
      </c>
      <c r="C147" s="9" t="s">
        <v>532</v>
      </c>
      <c r="D147" s="9" t="s">
        <v>547</v>
      </c>
      <c r="E147" s="9" t="s">
        <v>548</v>
      </c>
      <c r="F147" s="9" t="s">
        <v>447</v>
      </c>
      <c r="G147" s="25" t="n">
        <v>12</v>
      </c>
      <c r="H147" s="21" t="n">
        <f aca="false">IF(AND($L147="Yes",ISERROR(SEARCH("%",$F147))),$G147*'Cover &amp; Legend'!$C$12,0)</f>
        <v>1.8</v>
      </c>
      <c r="I147" s="21" t="n">
        <f aca="false">IF(ISERROR(SEARCH("%",$F147)),$G147+$H147,0)</f>
        <v>13.8</v>
      </c>
      <c r="J147" s="21" t="n">
        <v>120</v>
      </c>
      <c r="K147" s="9" t="s">
        <v>274</v>
      </c>
      <c r="L147" s="18" t="s">
        <v>95</v>
      </c>
      <c r="M147" s="26" t="s">
        <v>185</v>
      </c>
      <c r="N147" s="23" t="s">
        <v>421</v>
      </c>
    </row>
    <row r="148" customFormat="false" ht="30" hidden="false" customHeight="true" outlineLevel="0" collapsed="false">
      <c r="A148" s="18" t="s">
        <v>549</v>
      </c>
      <c r="B148" s="9" t="s">
        <v>48</v>
      </c>
      <c r="C148" s="9" t="s">
        <v>532</v>
      </c>
      <c r="D148" s="9" t="s">
        <v>550</v>
      </c>
      <c r="E148" s="9" t="s">
        <v>539</v>
      </c>
      <c r="F148" s="9" t="s">
        <v>314</v>
      </c>
      <c r="G148" s="25" t="n">
        <v>2</v>
      </c>
      <c r="H148" s="21" t="n">
        <f aca="false">IF(AND($L148="Yes",ISERROR(SEARCH("%",$F148))),$G148*'Cover &amp; Legend'!$C$12,0)</f>
        <v>0.3</v>
      </c>
      <c r="I148" s="21" t="n">
        <f aca="false">IF(ISERROR(SEARCH("%",$F148)),$G148+$H148,0)</f>
        <v>2.3</v>
      </c>
      <c r="J148" s="21" t="n">
        <v>200</v>
      </c>
      <c r="K148" s="9" t="s">
        <v>274</v>
      </c>
      <c r="L148" s="18" t="s">
        <v>95</v>
      </c>
      <c r="M148" s="26" t="s">
        <v>185</v>
      </c>
      <c r="N148" s="23" t="s">
        <v>421</v>
      </c>
    </row>
    <row r="149" customFormat="false" ht="30" hidden="false" customHeight="true" outlineLevel="0" collapsed="false">
      <c r="A149" s="18" t="s">
        <v>551</v>
      </c>
      <c r="B149" s="9" t="s">
        <v>48</v>
      </c>
      <c r="C149" s="9" t="s">
        <v>532</v>
      </c>
      <c r="D149" s="9" t="s">
        <v>552</v>
      </c>
      <c r="E149" s="9" t="s">
        <v>539</v>
      </c>
      <c r="F149" s="9" t="s">
        <v>553</v>
      </c>
      <c r="G149" s="25" t="n">
        <v>45</v>
      </c>
      <c r="H149" s="21" t="n">
        <f aca="false">IF(AND($L149="Yes",ISERROR(SEARCH("%",$F149))),$G149*'Cover &amp; Legend'!$C$12,0)</f>
        <v>6.75</v>
      </c>
      <c r="I149" s="21" t="n">
        <f aca="false">IF(ISERROR(SEARCH("%",$F149)),$G149+$H149,0)</f>
        <v>51.75</v>
      </c>
      <c r="J149" s="21" t="n">
        <v>225</v>
      </c>
      <c r="K149" s="9" t="s">
        <v>274</v>
      </c>
      <c r="L149" s="18" t="s">
        <v>95</v>
      </c>
      <c r="M149" s="26" t="s">
        <v>185</v>
      </c>
      <c r="N149" s="23" t="s">
        <v>421</v>
      </c>
    </row>
    <row r="150" customFormat="false" ht="30" hidden="false" customHeight="true" outlineLevel="0" collapsed="false">
      <c r="A150" s="18" t="s">
        <v>554</v>
      </c>
      <c r="B150" s="9" t="s">
        <v>48</v>
      </c>
      <c r="C150" s="9" t="s">
        <v>555</v>
      </c>
      <c r="D150" s="9" t="s">
        <v>556</v>
      </c>
      <c r="E150" s="9" t="s">
        <v>451</v>
      </c>
      <c r="F150" s="9" t="s">
        <v>496</v>
      </c>
      <c r="G150" s="25" t="n">
        <v>350</v>
      </c>
      <c r="H150" s="21" t="n">
        <f aca="false">IF(AND($L150="Yes",ISERROR(SEARCH("%",$F150))),$G150*'Cover &amp; Legend'!$C$12,0)</f>
        <v>52.5</v>
      </c>
      <c r="I150" s="21" t="n">
        <f aca="false">IF(ISERROR(SEARCH("%",$F150)),$G150+$H150,0)</f>
        <v>402.5</v>
      </c>
      <c r="J150" s="21" t="n">
        <v>350</v>
      </c>
      <c r="K150" s="9" t="s">
        <v>274</v>
      </c>
      <c r="L150" s="18" t="s">
        <v>95</v>
      </c>
      <c r="M150" s="26" t="s">
        <v>185</v>
      </c>
      <c r="N150" s="23" t="s">
        <v>557</v>
      </c>
    </row>
    <row r="151" customFormat="false" ht="30" hidden="false" customHeight="true" outlineLevel="0" collapsed="false">
      <c r="A151" s="18" t="s">
        <v>558</v>
      </c>
      <c r="B151" s="9" t="s">
        <v>48</v>
      </c>
      <c r="C151" s="9" t="s">
        <v>555</v>
      </c>
      <c r="D151" s="9" t="s">
        <v>559</v>
      </c>
      <c r="E151" s="9" t="s">
        <v>560</v>
      </c>
      <c r="F151" s="9" t="s">
        <v>278</v>
      </c>
      <c r="G151" s="25" t="n">
        <v>650</v>
      </c>
      <c r="H151" s="21" t="n">
        <f aca="false">IF(AND($L151="Yes",ISERROR(SEARCH("%",$F151))),$G151*'Cover &amp; Legend'!$C$12,0)</f>
        <v>97.5</v>
      </c>
      <c r="I151" s="21" t="n">
        <f aca="false">IF(ISERROR(SEARCH("%",$F151)),$G151+$H151,0)</f>
        <v>747.5</v>
      </c>
      <c r="J151" s="21" t="n">
        <v>650</v>
      </c>
      <c r="K151" s="9" t="s">
        <v>274</v>
      </c>
      <c r="L151" s="18" t="s">
        <v>95</v>
      </c>
      <c r="M151" s="26" t="s">
        <v>185</v>
      </c>
      <c r="N151" s="23" t="s">
        <v>561</v>
      </c>
    </row>
    <row r="152" customFormat="false" ht="30" hidden="false" customHeight="true" outlineLevel="0" collapsed="false">
      <c r="A152" s="18" t="s">
        <v>562</v>
      </c>
      <c r="B152" s="9" t="s">
        <v>48</v>
      </c>
      <c r="C152" s="9" t="s">
        <v>555</v>
      </c>
      <c r="D152" s="9" t="s">
        <v>563</v>
      </c>
      <c r="E152" s="9" t="s">
        <v>451</v>
      </c>
      <c r="F152" s="9" t="s">
        <v>278</v>
      </c>
      <c r="G152" s="25" t="n">
        <v>450</v>
      </c>
      <c r="H152" s="21" t="n">
        <f aca="false">IF(AND($L152="Yes",ISERROR(SEARCH("%",$F152))),$G152*'Cover &amp; Legend'!$C$12,0)</f>
        <v>67.5</v>
      </c>
      <c r="I152" s="21" t="n">
        <f aca="false">IF(ISERROR(SEARCH("%",$F152)),$G152+$H152,0)</f>
        <v>517.5</v>
      </c>
      <c r="J152" s="21" t="n">
        <v>450</v>
      </c>
      <c r="K152" s="9" t="s">
        <v>274</v>
      </c>
      <c r="L152" s="18" t="s">
        <v>95</v>
      </c>
      <c r="M152" s="26" t="s">
        <v>185</v>
      </c>
      <c r="N152" s="23" t="s">
        <v>564</v>
      </c>
    </row>
    <row r="153" customFormat="false" ht="30" hidden="false" customHeight="true" outlineLevel="0" collapsed="false">
      <c r="A153" s="18" t="s">
        <v>565</v>
      </c>
      <c r="B153" s="9" t="s">
        <v>48</v>
      </c>
      <c r="C153" s="9" t="s">
        <v>555</v>
      </c>
      <c r="D153" s="9" t="s">
        <v>566</v>
      </c>
      <c r="E153" s="9" t="s">
        <v>219</v>
      </c>
      <c r="F153" s="9" t="s">
        <v>278</v>
      </c>
      <c r="G153" s="25" t="n">
        <v>120</v>
      </c>
      <c r="H153" s="21" t="n">
        <f aca="false">IF(AND($L153="Yes",ISERROR(SEARCH("%",$F153))),$G153*'Cover &amp; Legend'!$C$12,0)</f>
        <v>18</v>
      </c>
      <c r="I153" s="21" t="n">
        <f aca="false">IF(ISERROR(SEARCH("%",$F153)),$G153+$H153,0)</f>
        <v>138</v>
      </c>
      <c r="J153" s="21" t="n">
        <v>120</v>
      </c>
      <c r="K153" s="9" t="s">
        <v>274</v>
      </c>
      <c r="L153" s="18" t="s">
        <v>95</v>
      </c>
      <c r="M153" s="26" t="s">
        <v>185</v>
      </c>
      <c r="N153" s="23" t="s">
        <v>567</v>
      </c>
    </row>
    <row r="154" customFormat="false" ht="30" hidden="false" customHeight="true" outlineLevel="0" collapsed="false">
      <c r="A154" s="18" t="s">
        <v>568</v>
      </c>
      <c r="B154" s="9" t="s">
        <v>48</v>
      </c>
      <c r="C154" s="9" t="s">
        <v>555</v>
      </c>
      <c r="D154" s="9" t="s">
        <v>569</v>
      </c>
      <c r="E154" s="9" t="s">
        <v>570</v>
      </c>
      <c r="F154" s="9" t="s">
        <v>278</v>
      </c>
      <c r="G154" s="25" t="n">
        <v>180</v>
      </c>
      <c r="H154" s="21" t="n">
        <f aca="false">IF(AND($L154="Yes",ISERROR(SEARCH("%",$F154))),$G154*'Cover &amp; Legend'!$C$12,0)</f>
        <v>27</v>
      </c>
      <c r="I154" s="21" t="n">
        <f aca="false">IF(ISERROR(SEARCH("%",$F154)),$G154+$H154,0)</f>
        <v>207</v>
      </c>
      <c r="J154" s="21" t="n">
        <v>180</v>
      </c>
      <c r="K154" s="9" t="s">
        <v>274</v>
      </c>
      <c r="L154" s="18" t="s">
        <v>95</v>
      </c>
      <c r="M154" s="26" t="s">
        <v>185</v>
      </c>
      <c r="N154" s="23" t="s">
        <v>421</v>
      </c>
    </row>
    <row r="155" customFormat="false" ht="30" hidden="false" customHeight="true" outlineLevel="0" collapsed="false">
      <c r="A155" s="18" t="s">
        <v>571</v>
      </c>
      <c r="B155" s="9" t="s">
        <v>48</v>
      </c>
      <c r="C155" s="9" t="s">
        <v>555</v>
      </c>
      <c r="D155" s="9" t="s">
        <v>572</v>
      </c>
      <c r="E155" s="9" t="s">
        <v>182</v>
      </c>
      <c r="F155" s="9" t="s">
        <v>573</v>
      </c>
      <c r="G155" s="25" t="n">
        <v>120</v>
      </c>
      <c r="H155" s="21" t="n">
        <f aca="false">IF(AND($L155="Yes",ISERROR(SEARCH("%",$F155))),$G155*'Cover &amp; Legend'!$C$12,0)</f>
        <v>18</v>
      </c>
      <c r="I155" s="21" t="n">
        <f aca="false">IF(ISERROR(SEARCH("%",$F155)),$G155+$H155,0)</f>
        <v>138</v>
      </c>
      <c r="J155" s="21" t="n">
        <v>120</v>
      </c>
      <c r="K155" s="9" t="s">
        <v>274</v>
      </c>
      <c r="L155" s="18" t="s">
        <v>95</v>
      </c>
      <c r="M155" s="26" t="s">
        <v>185</v>
      </c>
      <c r="N155" s="23" t="s">
        <v>574</v>
      </c>
    </row>
    <row r="156" customFormat="false" ht="30" hidden="false" customHeight="true" outlineLevel="0" collapsed="false">
      <c r="A156" s="18" t="s">
        <v>575</v>
      </c>
      <c r="B156" s="19" t="s">
        <v>50</v>
      </c>
      <c r="C156" s="9" t="s">
        <v>576</v>
      </c>
      <c r="D156" s="9" t="s">
        <v>577</v>
      </c>
      <c r="E156" s="9" t="s">
        <v>219</v>
      </c>
      <c r="F156" s="9" t="s">
        <v>273</v>
      </c>
      <c r="G156" s="20" t="n">
        <v>35</v>
      </c>
      <c r="H156" s="21" t="n">
        <f aca="false">IF(AND($L156="Yes",ISERROR(SEARCH("%",$F156))),$G156*'Cover &amp; Legend'!$C$12,0)</f>
        <v>5.25</v>
      </c>
      <c r="I156" s="21" t="n">
        <f aca="false">IF(ISERROR(SEARCH("%",$F156)),$G156+$H156,0)</f>
        <v>40.25</v>
      </c>
      <c r="J156" s="21" t="n">
        <v>0</v>
      </c>
      <c r="K156" s="9" t="s">
        <v>274</v>
      </c>
      <c r="L156" s="18" t="s">
        <v>95</v>
      </c>
      <c r="M156" s="22" t="s">
        <v>96</v>
      </c>
      <c r="N156" s="23" t="s">
        <v>578</v>
      </c>
    </row>
    <row r="157" customFormat="false" ht="30" hidden="false" customHeight="true" outlineLevel="0" collapsed="false">
      <c r="A157" s="18" t="s">
        <v>579</v>
      </c>
      <c r="B157" s="9" t="s">
        <v>50</v>
      </c>
      <c r="C157" s="9" t="s">
        <v>576</v>
      </c>
      <c r="D157" s="9" t="s">
        <v>580</v>
      </c>
      <c r="E157" s="9" t="s">
        <v>219</v>
      </c>
      <c r="F157" s="9" t="s">
        <v>273</v>
      </c>
      <c r="G157" s="25" t="n">
        <v>65</v>
      </c>
      <c r="H157" s="21" t="n">
        <f aca="false">IF(AND($L157="Yes",ISERROR(SEARCH("%",$F157))),$G157*'Cover &amp; Legend'!$C$12,0)</f>
        <v>9.75</v>
      </c>
      <c r="I157" s="21" t="n">
        <f aca="false">IF(ISERROR(SEARCH("%",$F157)),$G157+$H157,0)</f>
        <v>74.75</v>
      </c>
      <c r="J157" s="21" t="n">
        <v>0</v>
      </c>
      <c r="K157" s="9" t="s">
        <v>274</v>
      </c>
      <c r="L157" s="18" t="s">
        <v>95</v>
      </c>
      <c r="M157" s="26" t="s">
        <v>185</v>
      </c>
      <c r="N157" s="23" t="s">
        <v>421</v>
      </c>
    </row>
    <row r="158" customFormat="false" ht="30" hidden="false" customHeight="true" outlineLevel="0" collapsed="false">
      <c r="A158" s="18" t="s">
        <v>581</v>
      </c>
      <c r="B158" s="9" t="s">
        <v>50</v>
      </c>
      <c r="C158" s="9" t="s">
        <v>576</v>
      </c>
      <c r="D158" s="9" t="s">
        <v>582</v>
      </c>
      <c r="E158" s="9" t="s">
        <v>528</v>
      </c>
      <c r="F158" s="9" t="s">
        <v>273</v>
      </c>
      <c r="G158" s="25" t="n">
        <v>95</v>
      </c>
      <c r="H158" s="21" t="n">
        <f aca="false">IF(AND($L158="Yes",ISERROR(SEARCH("%",$F158))),$G158*'Cover &amp; Legend'!$C$12,0)</f>
        <v>14.25</v>
      </c>
      <c r="I158" s="21" t="n">
        <f aca="false">IF(ISERROR(SEARCH("%",$F158)),$G158+$H158,0)</f>
        <v>109.25</v>
      </c>
      <c r="J158" s="21" t="n">
        <v>0</v>
      </c>
      <c r="K158" s="9" t="s">
        <v>274</v>
      </c>
      <c r="L158" s="18" t="s">
        <v>95</v>
      </c>
      <c r="M158" s="26" t="s">
        <v>185</v>
      </c>
      <c r="N158" s="23" t="s">
        <v>583</v>
      </c>
    </row>
    <row r="159" customFormat="false" ht="30" hidden="false" customHeight="true" outlineLevel="0" collapsed="false">
      <c r="A159" s="18" t="s">
        <v>584</v>
      </c>
      <c r="B159" s="9" t="s">
        <v>50</v>
      </c>
      <c r="C159" s="9" t="s">
        <v>576</v>
      </c>
      <c r="D159" s="9" t="s">
        <v>585</v>
      </c>
      <c r="E159" s="9" t="s">
        <v>219</v>
      </c>
      <c r="F159" s="9" t="s">
        <v>273</v>
      </c>
      <c r="G159" s="25" t="n">
        <v>75</v>
      </c>
      <c r="H159" s="21" t="n">
        <f aca="false">IF(AND($L159="Yes",ISERROR(SEARCH("%",$F159))),$G159*'Cover &amp; Legend'!$C$12,0)</f>
        <v>11.25</v>
      </c>
      <c r="I159" s="21" t="n">
        <f aca="false">IF(ISERROR(SEARCH("%",$F159)),$G159+$H159,0)</f>
        <v>86.25</v>
      </c>
      <c r="J159" s="21" t="n">
        <v>0</v>
      </c>
      <c r="K159" s="9" t="s">
        <v>274</v>
      </c>
      <c r="L159" s="18" t="s">
        <v>95</v>
      </c>
      <c r="M159" s="26" t="s">
        <v>185</v>
      </c>
      <c r="N159" s="23" t="s">
        <v>421</v>
      </c>
    </row>
    <row r="160" customFormat="false" ht="30" hidden="false" customHeight="true" outlineLevel="0" collapsed="false">
      <c r="A160" s="18" t="s">
        <v>586</v>
      </c>
      <c r="B160" s="9" t="s">
        <v>50</v>
      </c>
      <c r="C160" s="9" t="s">
        <v>576</v>
      </c>
      <c r="D160" s="9" t="s">
        <v>587</v>
      </c>
      <c r="E160" s="9" t="s">
        <v>440</v>
      </c>
      <c r="F160" s="9" t="s">
        <v>273</v>
      </c>
      <c r="G160" s="25" t="n">
        <v>180</v>
      </c>
      <c r="H160" s="21" t="n">
        <f aca="false">IF(AND($L160="Yes",ISERROR(SEARCH("%",$F160))),$G160*'Cover &amp; Legend'!$C$12,0)</f>
        <v>27</v>
      </c>
      <c r="I160" s="21" t="n">
        <f aca="false">IF(ISERROR(SEARCH("%",$F160)),$G160+$H160,0)</f>
        <v>207</v>
      </c>
      <c r="J160" s="21" t="n">
        <v>0</v>
      </c>
      <c r="K160" s="9" t="s">
        <v>274</v>
      </c>
      <c r="L160" s="18" t="s">
        <v>95</v>
      </c>
      <c r="M160" s="26" t="s">
        <v>185</v>
      </c>
      <c r="N160" s="23" t="s">
        <v>588</v>
      </c>
    </row>
    <row r="161" customFormat="false" ht="30" hidden="false" customHeight="true" outlineLevel="0" collapsed="false">
      <c r="A161" s="18" t="s">
        <v>589</v>
      </c>
      <c r="B161" s="9" t="s">
        <v>50</v>
      </c>
      <c r="C161" s="9" t="s">
        <v>576</v>
      </c>
      <c r="D161" s="9" t="s">
        <v>590</v>
      </c>
      <c r="E161" s="9" t="s">
        <v>219</v>
      </c>
      <c r="F161" s="9" t="s">
        <v>591</v>
      </c>
      <c r="G161" s="25" t="n">
        <v>18</v>
      </c>
      <c r="H161" s="21" t="n">
        <f aca="false">IF(AND($L161="Yes",ISERROR(SEARCH("%",$F161))),$G161*'Cover &amp; Legend'!$C$12,0)</f>
        <v>2.7</v>
      </c>
      <c r="I161" s="21" t="n">
        <f aca="false">IF(ISERROR(SEARCH("%",$F161)),$G161+$H161,0)</f>
        <v>20.7</v>
      </c>
      <c r="J161" s="21" t="n">
        <v>0</v>
      </c>
      <c r="K161" s="9" t="s">
        <v>274</v>
      </c>
      <c r="L161" s="18" t="s">
        <v>95</v>
      </c>
      <c r="M161" s="26" t="s">
        <v>185</v>
      </c>
      <c r="N161" s="23" t="s">
        <v>421</v>
      </c>
    </row>
    <row r="162" customFormat="false" ht="30" hidden="false" customHeight="true" outlineLevel="0" collapsed="false">
      <c r="A162" s="18" t="s">
        <v>592</v>
      </c>
      <c r="B162" s="9" t="s">
        <v>50</v>
      </c>
      <c r="C162" s="9" t="s">
        <v>593</v>
      </c>
      <c r="D162" s="9" t="s">
        <v>594</v>
      </c>
      <c r="E162" s="9" t="s">
        <v>219</v>
      </c>
      <c r="F162" s="9" t="s">
        <v>595</v>
      </c>
      <c r="G162" s="25" t="n">
        <v>45</v>
      </c>
      <c r="H162" s="21" t="n">
        <f aca="false">IF(AND($L162="Yes",ISERROR(SEARCH("%",$F162))),$G162*'Cover &amp; Legend'!$C$12,0)</f>
        <v>6.75</v>
      </c>
      <c r="I162" s="21" t="n">
        <f aca="false">IF(ISERROR(SEARCH("%",$F162)),$G162+$H162,0)</f>
        <v>51.75</v>
      </c>
      <c r="J162" s="21" t="n">
        <v>0</v>
      </c>
      <c r="K162" s="9" t="s">
        <v>274</v>
      </c>
      <c r="L162" s="18" t="s">
        <v>95</v>
      </c>
      <c r="M162" s="26" t="s">
        <v>185</v>
      </c>
      <c r="N162" s="23" t="s">
        <v>596</v>
      </c>
    </row>
    <row r="163" customFormat="false" ht="30" hidden="false" customHeight="true" outlineLevel="0" collapsed="false">
      <c r="A163" s="18" t="s">
        <v>597</v>
      </c>
      <c r="B163" s="9" t="s">
        <v>50</v>
      </c>
      <c r="C163" s="9" t="s">
        <v>593</v>
      </c>
      <c r="D163" s="9" t="s">
        <v>598</v>
      </c>
      <c r="E163" s="9" t="s">
        <v>219</v>
      </c>
      <c r="F163" s="9" t="s">
        <v>595</v>
      </c>
      <c r="G163" s="25" t="n">
        <v>85</v>
      </c>
      <c r="H163" s="21" t="n">
        <f aca="false">IF(AND($L163="Yes",ISERROR(SEARCH("%",$F163))),$G163*'Cover &amp; Legend'!$C$12,0)</f>
        <v>12.75</v>
      </c>
      <c r="I163" s="21" t="n">
        <f aca="false">IF(ISERROR(SEARCH("%",$F163)),$G163+$H163,0)</f>
        <v>97.75</v>
      </c>
      <c r="J163" s="21" t="n">
        <v>0</v>
      </c>
      <c r="K163" s="9" t="s">
        <v>274</v>
      </c>
      <c r="L163" s="18" t="s">
        <v>95</v>
      </c>
      <c r="M163" s="26" t="s">
        <v>185</v>
      </c>
      <c r="N163" s="23" t="s">
        <v>421</v>
      </c>
    </row>
    <row r="164" customFormat="false" ht="30" hidden="false" customHeight="true" outlineLevel="0" collapsed="false">
      <c r="A164" s="18" t="s">
        <v>599</v>
      </c>
      <c r="B164" s="9" t="s">
        <v>50</v>
      </c>
      <c r="C164" s="9" t="s">
        <v>593</v>
      </c>
      <c r="D164" s="9" t="s">
        <v>600</v>
      </c>
      <c r="E164" s="9" t="s">
        <v>219</v>
      </c>
      <c r="F164" s="9" t="s">
        <v>429</v>
      </c>
      <c r="G164" s="25" t="n">
        <v>12</v>
      </c>
      <c r="H164" s="21" t="n">
        <f aca="false">IF(AND($L164="Yes",ISERROR(SEARCH("%",$F164))),$G164*'Cover &amp; Legend'!$C$12,0)</f>
        <v>1.8</v>
      </c>
      <c r="I164" s="21" t="n">
        <f aca="false">IF(ISERROR(SEARCH("%",$F164)),$G164+$H164,0)</f>
        <v>13.8</v>
      </c>
      <c r="J164" s="21" t="n">
        <v>0</v>
      </c>
      <c r="K164" s="9" t="s">
        <v>274</v>
      </c>
      <c r="L164" s="18" t="s">
        <v>95</v>
      </c>
      <c r="M164" s="26" t="s">
        <v>185</v>
      </c>
      <c r="N164" s="23" t="s">
        <v>601</v>
      </c>
    </row>
    <row r="165" customFormat="false" ht="30" hidden="false" customHeight="true" outlineLevel="0" collapsed="false">
      <c r="A165" s="18" t="s">
        <v>602</v>
      </c>
      <c r="B165" s="9" t="s">
        <v>50</v>
      </c>
      <c r="C165" s="9" t="s">
        <v>593</v>
      </c>
      <c r="D165" s="9" t="s">
        <v>603</v>
      </c>
      <c r="E165" s="9" t="s">
        <v>219</v>
      </c>
      <c r="F165" s="9" t="s">
        <v>595</v>
      </c>
      <c r="G165" s="25" t="n">
        <v>8</v>
      </c>
      <c r="H165" s="21" t="n">
        <f aca="false">IF(AND($L165="Yes",ISERROR(SEARCH("%",$F165))),$G165*'Cover &amp; Legend'!$C$12,0)</f>
        <v>1.2</v>
      </c>
      <c r="I165" s="21" t="n">
        <f aca="false">IF(ISERROR(SEARCH("%",$F165)),$G165+$H165,0)</f>
        <v>9.2</v>
      </c>
      <c r="J165" s="21" t="n">
        <v>0</v>
      </c>
      <c r="K165" s="9" t="s">
        <v>274</v>
      </c>
      <c r="L165" s="18" t="s">
        <v>95</v>
      </c>
      <c r="M165" s="26" t="s">
        <v>185</v>
      </c>
      <c r="N165" s="23" t="s">
        <v>421</v>
      </c>
    </row>
    <row r="166" customFormat="false" ht="30" hidden="false" customHeight="true" outlineLevel="0" collapsed="false">
      <c r="A166" s="18" t="s">
        <v>604</v>
      </c>
      <c r="B166" s="9" t="s">
        <v>50</v>
      </c>
      <c r="C166" s="9" t="s">
        <v>593</v>
      </c>
      <c r="D166" s="9" t="s">
        <v>605</v>
      </c>
      <c r="E166" s="9" t="s">
        <v>219</v>
      </c>
      <c r="F166" s="9" t="s">
        <v>314</v>
      </c>
      <c r="G166" s="25" t="n">
        <v>4</v>
      </c>
      <c r="H166" s="21" t="n">
        <f aca="false">IF(AND($L166="Yes",ISERROR(SEARCH("%",$F166))),$G166*'Cover &amp; Legend'!$C$12,0)</f>
        <v>0.6</v>
      </c>
      <c r="I166" s="21" t="n">
        <f aca="false">IF(ISERROR(SEARCH("%",$F166)),$G166+$H166,0)</f>
        <v>4.6</v>
      </c>
      <c r="J166" s="21" t="n">
        <v>0</v>
      </c>
      <c r="K166" s="9" t="s">
        <v>274</v>
      </c>
      <c r="L166" s="18" t="s">
        <v>95</v>
      </c>
      <c r="M166" s="26" t="s">
        <v>185</v>
      </c>
      <c r="N166" s="23" t="s">
        <v>421</v>
      </c>
    </row>
    <row r="167" customFormat="false" ht="30" hidden="false" customHeight="true" outlineLevel="0" collapsed="false">
      <c r="A167" s="18" t="s">
        <v>606</v>
      </c>
      <c r="B167" s="9" t="s">
        <v>50</v>
      </c>
      <c r="C167" s="9" t="s">
        <v>593</v>
      </c>
      <c r="D167" s="9" t="s">
        <v>607</v>
      </c>
      <c r="E167" s="9" t="s">
        <v>219</v>
      </c>
      <c r="F167" s="9" t="s">
        <v>608</v>
      </c>
      <c r="G167" s="25" t="n">
        <v>2</v>
      </c>
      <c r="H167" s="21" t="n">
        <f aca="false">IF(AND($L167="Yes",ISERROR(SEARCH("%",$F167))),$G167*'Cover &amp; Legend'!$C$12,0)</f>
        <v>0.3</v>
      </c>
      <c r="I167" s="21" t="n">
        <f aca="false">IF(ISERROR(SEARCH("%",$F167)),$G167+$H167,0)</f>
        <v>2.3</v>
      </c>
      <c r="J167" s="21" t="n">
        <v>0</v>
      </c>
      <c r="K167" s="9" t="s">
        <v>274</v>
      </c>
      <c r="L167" s="18" t="s">
        <v>95</v>
      </c>
      <c r="M167" s="26" t="s">
        <v>185</v>
      </c>
      <c r="N167" s="23" t="s">
        <v>421</v>
      </c>
    </row>
    <row r="168" customFormat="false" ht="30" hidden="false" customHeight="true" outlineLevel="0" collapsed="false">
      <c r="A168" s="18" t="s">
        <v>609</v>
      </c>
      <c r="B168" s="9" t="s">
        <v>50</v>
      </c>
      <c r="C168" s="9" t="s">
        <v>593</v>
      </c>
      <c r="D168" s="9" t="s">
        <v>610</v>
      </c>
      <c r="E168" s="9" t="s">
        <v>435</v>
      </c>
      <c r="F168" s="9" t="s">
        <v>436</v>
      </c>
      <c r="G168" s="25" t="n">
        <v>3</v>
      </c>
      <c r="H168" s="21" t="n">
        <f aca="false">IF(AND($L168="Yes",ISERROR(SEARCH("%",$F168))),$G168*'Cover &amp; Legend'!$C$12,0)</f>
        <v>0.45</v>
      </c>
      <c r="I168" s="21" t="n">
        <f aca="false">IF(ISERROR(SEARCH("%",$F168)),$G168+$H168,0)</f>
        <v>3.45</v>
      </c>
      <c r="J168" s="21" t="n">
        <v>0</v>
      </c>
      <c r="K168" s="9" t="s">
        <v>274</v>
      </c>
      <c r="L168" s="18" t="s">
        <v>95</v>
      </c>
      <c r="M168" s="26" t="s">
        <v>185</v>
      </c>
      <c r="N168" s="23" t="s">
        <v>421</v>
      </c>
    </row>
    <row r="169" customFormat="false" ht="30" hidden="false" customHeight="true" outlineLevel="0" collapsed="false">
      <c r="A169" s="18" t="s">
        <v>611</v>
      </c>
      <c r="B169" s="9" t="s">
        <v>50</v>
      </c>
      <c r="C169" s="9" t="s">
        <v>593</v>
      </c>
      <c r="D169" s="9" t="s">
        <v>612</v>
      </c>
      <c r="E169" s="9" t="s">
        <v>219</v>
      </c>
      <c r="F169" s="9" t="s">
        <v>591</v>
      </c>
      <c r="G169" s="25" t="n">
        <v>10</v>
      </c>
      <c r="H169" s="21" t="n">
        <f aca="false">IF(AND($L169="Yes",ISERROR(SEARCH("%",$F169))),$G169*'Cover &amp; Legend'!$C$12,0)</f>
        <v>1.5</v>
      </c>
      <c r="I169" s="21" t="n">
        <f aca="false">IF(ISERROR(SEARCH("%",$F169)),$G169+$H169,0)</f>
        <v>11.5</v>
      </c>
      <c r="J169" s="21" t="n">
        <v>0</v>
      </c>
      <c r="K169" s="9" t="s">
        <v>274</v>
      </c>
      <c r="L169" s="18" t="s">
        <v>95</v>
      </c>
      <c r="M169" s="26" t="s">
        <v>185</v>
      </c>
      <c r="N169" s="23" t="s">
        <v>421</v>
      </c>
    </row>
    <row r="170" customFormat="false" ht="30" hidden="false" customHeight="true" outlineLevel="0" collapsed="false">
      <c r="A170" s="18" t="s">
        <v>613</v>
      </c>
      <c r="B170" s="9" t="s">
        <v>50</v>
      </c>
      <c r="C170" s="9" t="s">
        <v>593</v>
      </c>
      <c r="D170" s="9" t="s">
        <v>614</v>
      </c>
      <c r="E170" s="9" t="s">
        <v>219</v>
      </c>
      <c r="F170" s="9" t="s">
        <v>615</v>
      </c>
      <c r="G170" s="25" t="n">
        <v>120</v>
      </c>
      <c r="H170" s="21" t="n">
        <f aca="false">IF(AND($L170="Yes",ISERROR(SEARCH("%",$F170))),$G170*'Cover &amp; Legend'!$C$12,0)</f>
        <v>18</v>
      </c>
      <c r="I170" s="21" t="n">
        <f aca="false">IF(ISERROR(SEARCH("%",$F170)),$G170+$H170,0)</f>
        <v>138</v>
      </c>
      <c r="J170" s="21" t="n">
        <v>0</v>
      </c>
      <c r="K170" s="9" t="s">
        <v>274</v>
      </c>
      <c r="L170" s="18" t="s">
        <v>95</v>
      </c>
      <c r="M170" s="26" t="s">
        <v>185</v>
      </c>
      <c r="N170" s="23" t="s">
        <v>421</v>
      </c>
    </row>
    <row r="171" customFormat="false" ht="30" hidden="false" customHeight="true" outlineLevel="0" collapsed="false">
      <c r="A171" s="18" t="s">
        <v>616</v>
      </c>
      <c r="B171" s="9" t="s">
        <v>50</v>
      </c>
      <c r="C171" s="9" t="s">
        <v>593</v>
      </c>
      <c r="D171" s="9" t="s">
        <v>617</v>
      </c>
      <c r="E171" s="9" t="s">
        <v>219</v>
      </c>
      <c r="F171" s="9" t="s">
        <v>618</v>
      </c>
      <c r="G171" s="25" t="n">
        <v>25</v>
      </c>
      <c r="H171" s="21" t="n">
        <f aca="false">IF(AND($L171="Yes",ISERROR(SEARCH("%",$F171))),$G171*'Cover &amp; Legend'!$C$12,0)</f>
        <v>3.75</v>
      </c>
      <c r="I171" s="21" t="n">
        <f aca="false">IF(ISERROR(SEARCH("%",$F171)),$G171+$H171,0)</f>
        <v>28.75</v>
      </c>
      <c r="J171" s="21" t="n">
        <v>0</v>
      </c>
      <c r="K171" s="9" t="s">
        <v>274</v>
      </c>
      <c r="L171" s="18" t="s">
        <v>95</v>
      </c>
      <c r="M171" s="26" t="s">
        <v>185</v>
      </c>
      <c r="N171" s="23" t="s">
        <v>421</v>
      </c>
    </row>
    <row r="172" customFormat="false" ht="30" hidden="false" customHeight="true" outlineLevel="0" collapsed="false">
      <c r="A172" s="18" t="s">
        <v>619</v>
      </c>
      <c r="B172" s="9" t="s">
        <v>50</v>
      </c>
      <c r="C172" s="9" t="s">
        <v>593</v>
      </c>
      <c r="D172" s="9" t="s">
        <v>620</v>
      </c>
      <c r="E172" s="9" t="s">
        <v>182</v>
      </c>
      <c r="F172" s="9" t="s">
        <v>273</v>
      </c>
      <c r="G172" s="25" t="n">
        <v>220</v>
      </c>
      <c r="H172" s="21" t="n">
        <f aca="false">IF(AND($L172="Yes",ISERROR(SEARCH("%",$F172))),$G172*'Cover &amp; Legend'!$C$12,0)</f>
        <v>33</v>
      </c>
      <c r="I172" s="21" t="n">
        <f aca="false">IF(ISERROR(SEARCH("%",$F172)),$G172+$H172,0)</f>
        <v>253</v>
      </c>
      <c r="J172" s="21" t="n">
        <v>0</v>
      </c>
      <c r="K172" s="9" t="s">
        <v>274</v>
      </c>
      <c r="L172" s="18" t="s">
        <v>95</v>
      </c>
      <c r="M172" s="26" t="s">
        <v>185</v>
      </c>
      <c r="N172" s="23" t="s">
        <v>421</v>
      </c>
    </row>
    <row r="173" customFormat="false" ht="30" hidden="false" customHeight="true" outlineLevel="0" collapsed="false">
      <c r="A173" s="18" t="s">
        <v>621</v>
      </c>
      <c r="B173" s="19" t="s">
        <v>52</v>
      </c>
      <c r="C173" s="9" t="s">
        <v>622</v>
      </c>
      <c r="D173" s="9" t="s">
        <v>623</v>
      </c>
      <c r="E173" s="9" t="s">
        <v>219</v>
      </c>
      <c r="F173" s="9" t="s">
        <v>105</v>
      </c>
      <c r="G173" s="20" t="n">
        <v>400</v>
      </c>
      <c r="H173" s="21" t="n">
        <f aca="false">IF(AND($L173="Yes",ISERROR(SEARCH("%",$F173))),$G173*'Cover &amp; Legend'!$C$12,0)</f>
        <v>60</v>
      </c>
      <c r="I173" s="21" t="n">
        <f aca="false">IF(ISERROR(SEARCH("%",$F173)),$G173+$H173,0)</f>
        <v>460</v>
      </c>
      <c r="J173" s="21" t="n">
        <v>400</v>
      </c>
      <c r="K173" s="9" t="s">
        <v>105</v>
      </c>
      <c r="L173" s="18" t="s">
        <v>95</v>
      </c>
      <c r="M173" s="22" t="s">
        <v>96</v>
      </c>
      <c r="N173" s="23" t="s">
        <v>624</v>
      </c>
    </row>
    <row r="174" customFormat="false" ht="30" hidden="false" customHeight="true" outlineLevel="0" collapsed="false">
      <c r="A174" s="18" t="s">
        <v>625</v>
      </c>
      <c r="B174" s="9" t="s">
        <v>52</v>
      </c>
      <c r="C174" s="9" t="s">
        <v>622</v>
      </c>
      <c r="D174" s="9" t="s">
        <v>626</v>
      </c>
      <c r="E174" s="9" t="s">
        <v>219</v>
      </c>
      <c r="F174" s="9" t="s">
        <v>105</v>
      </c>
      <c r="G174" s="20" t="n">
        <v>500</v>
      </c>
      <c r="H174" s="21" t="n">
        <f aca="false">IF(AND($L174="Yes",ISERROR(SEARCH("%",$F174))),$G174*'Cover &amp; Legend'!$C$12,0)</f>
        <v>75</v>
      </c>
      <c r="I174" s="21" t="n">
        <f aca="false">IF(ISERROR(SEARCH("%",$F174)),$G174+$H174,0)</f>
        <v>575</v>
      </c>
      <c r="J174" s="21" t="n">
        <v>500</v>
      </c>
      <c r="K174" s="9" t="s">
        <v>105</v>
      </c>
      <c r="L174" s="18" t="s">
        <v>95</v>
      </c>
      <c r="M174" s="22" t="s">
        <v>96</v>
      </c>
      <c r="N174" s="23" t="s">
        <v>627</v>
      </c>
    </row>
    <row r="175" customFormat="false" ht="30" hidden="false" customHeight="true" outlineLevel="0" collapsed="false">
      <c r="A175" s="18" t="s">
        <v>628</v>
      </c>
      <c r="B175" s="9" t="s">
        <v>52</v>
      </c>
      <c r="C175" s="9" t="s">
        <v>622</v>
      </c>
      <c r="D175" s="9" t="s">
        <v>629</v>
      </c>
      <c r="E175" s="9" t="s">
        <v>219</v>
      </c>
      <c r="F175" s="9" t="s">
        <v>105</v>
      </c>
      <c r="G175" s="20" t="n">
        <v>600</v>
      </c>
      <c r="H175" s="21" t="n">
        <f aca="false">IF(AND($L175="Yes",ISERROR(SEARCH("%",$F175))),$G175*'Cover &amp; Legend'!$C$12,0)</f>
        <v>90</v>
      </c>
      <c r="I175" s="21" t="n">
        <f aca="false">IF(ISERROR(SEARCH("%",$F175)),$G175+$H175,0)</f>
        <v>690</v>
      </c>
      <c r="J175" s="21" t="n">
        <v>600</v>
      </c>
      <c r="K175" s="9" t="s">
        <v>105</v>
      </c>
      <c r="L175" s="18" t="s">
        <v>95</v>
      </c>
      <c r="M175" s="22" t="s">
        <v>96</v>
      </c>
      <c r="N175" s="23" t="s">
        <v>627</v>
      </c>
    </row>
    <row r="176" customFormat="false" ht="30" hidden="false" customHeight="true" outlineLevel="0" collapsed="false">
      <c r="A176" s="18" t="s">
        <v>630</v>
      </c>
      <c r="B176" s="9" t="s">
        <v>52</v>
      </c>
      <c r="C176" s="9" t="s">
        <v>622</v>
      </c>
      <c r="D176" s="9" t="s">
        <v>631</v>
      </c>
      <c r="E176" s="9" t="s">
        <v>219</v>
      </c>
      <c r="F176" s="9" t="s">
        <v>105</v>
      </c>
      <c r="G176" s="20" t="n">
        <v>700</v>
      </c>
      <c r="H176" s="21" t="n">
        <f aca="false">IF(AND($L176="Yes",ISERROR(SEARCH("%",$F176))),$G176*'Cover &amp; Legend'!$C$12,0)</f>
        <v>105</v>
      </c>
      <c r="I176" s="21" t="n">
        <f aca="false">IF(ISERROR(SEARCH("%",$F176)),$G176+$H176,0)</f>
        <v>805</v>
      </c>
      <c r="J176" s="21" t="n">
        <v>700</v>
      </c>
      <c r="K176" s="9" t="s">
        <v>105</v>
      </c>
      <c r="L176" s="18" t="s">
        <v>95</v>
      </c>
      <c r="M176" s="22" t="s">
        <v>96</v>
      </c>
      <c r="N176" s="23" t="s">
        <v>627</v>
      </c>
    </row>
    <row r="177" customFormat="false" ht="30" hidden="false" customHeight="true" outlineLevel="0" collapsed="false">
      <c r="A177" s="18" t="s">
        <v>632</v>
      </c>
      <c r="B177" s="9" t="s">
        <v>52</v>
      </c>
      <c r="C177" s="9" t="s">
        <v>622</v>
      </c>
      <c r="D177" s="9" t="s">
        <v>633</v>
      </c>
      <c r="E177" s="9" t="s">
        <v>219</v>
      </c>
      <c r="F177" s="9" t="s">
        <v>105</v>
      </c>
      <c r="G177" s="20" t="n">
        <v>800</v>
      </c>
      <c r="H177" s="21" t="n">
        <f aca="false">IF(AND($L177="Yes",ISERROR(SEARCH("%",$F177))),$G177*'Cover &amp; Legend'!$C$12,0)</f>
        <v>120</v>
      </c>
      <c r="I177" s="21" t="n">
        <f aca="false">IF(ISERROR(SEARCH("%",$F177)),$G177+$H177,0)</f>
        <v>920</v>
      </c>
      <c r="J177" s="21" t="n">
        <v>800</v>
      </c>
      <c r="K177" s="9" t="s">
        <v>105</v>
      </c>
      <c r="L177" s="18" t="s">
        <v>95</v>
      </c>
      <c r="M177" s="22" t="s">
        <v>96</v>
      </c>
      <c r="N177" s="23" t="s">
        <v>627</v>
      </c>
    </row>
    <row r="178" customFormat="false" ht="30" hidden="false" customHeight="true" outlineLevel="0" collapsed="false">
      <c r="A178" s="18" t="s">
        <v>634</v>
      </c>
      <c r="B178" s="9" t="s">
        <v>52</v>
      </c>
      <c r="C178" s="9" t="s">
        <v>622</v>
      </c>
      <c r="D178" s="9" t="s">
        <v>635</v>
      </c>
      <c r="E178" s="9" t="s">
        <v>219</v>
      </c>
      <c r="F178" s="9" t="s">
        <v>105</v>
      </c>
      <c r="G178" s="20" t="n">
        <v>1500</v>
      </c>
      <c r="H178" s="21" t="n">
        <f aca="false">IF(AND($L178="Yes",ISERROR(SEARCH("%",$F178))),$G178*'Cover &amp; Legend'!$C$12,0)</f>
        <v>225</v>
      </c>
      <c r="I178" s="21" t="n">
        <f aca="false">IF(ISERROR(SEARCH("%",$F178)),$G178+$H178,0)</f>
        <v>1725</v>
      </c>
      <c r="J178" s="21" t="n">
        <v>1500</v>
      </c>
      <c r="K178" s="9" t="s">
        <v>105</v>
      </c>
      <c r="L178" s="18" t="s">
        <v>95</v>
      </c>
      <c r="M178" s="22" t="s">
        <v>96</v>
      </c>
      <c r="N178" s="23" t="s">
        <v>627</v>
      </c>
    </row>
    <row r="179" customFormat="false" ht="30" hidden="false" customHeight="true" outlineLevel="0" collapsed="false">
      <c r="A179" s="18" t="s">
        <v>636</v>
      </c>
      <c r="B179" s="9" t="s">
        <v>52</v>
      </c>
      <c r="C179" s="9" t="s">
        <v>622</v>
      </c>
      <c r="D179" s="9" t="s">
        <v>637</v>
      </c>
      <c r="E179" s="9" t="s">
        <v>219</v>
      </c>
      <c r="F179" s="9" t="s">
        <v>105</v>
      </c>
      <c r="G179" s="20" t="n">
        <v>3500</v>
      </c>
      <c r="H179" s="21" t="n">
        <f aca="false">IF(AND($L179="Yes",ISERROR(SEARCH("%",$F179))),$G179*'Cover &amp; Legend'!$C$12,0)</f>
        <v>525</v>
      </c>
      <c r="I179" s="21" t="n">
        <f aca="false">IF(ISERROR(SEARCH("%",$F179)),$G179+$H179,0)</f>
        <v>4025</v>
      </c>
      <c r="J179" s="21" t="n">
        <v>3500</v>
      </c>
      <c r="K179" s="9" t="s">
        <v>105</v>
      </c>
      <c r="L179" s="18" t="s">
        <v>95</v>
      </c>
      <c r="M179" s="22" t="s">
        <v>96</v>
      </c>
      <c r="N179" s="23" t="s">
        <v>627</v>
      </c>
    </row>
    <row r="180" customFormat="false" ht="30" hidden="false" customHeight="true" outlineLevel="0" collapsed="false">
      <c r="A180" s="18" t="s">
        <v>638</v>
      </c>
      <c r="B180" s="9" t="s">
        <v>52</v>
      </c>
      <c r="C180" s="9" t="s">
        <v>622</v>
      </c>
      <c r="D180" s="9" t="s">
        <v>639</v>
      </c>
      <c r="E180" s="9" t="s">
        <v>219</v>
      </c>
      <c r="F180" s="9" t="s">
        <v>105</v>
      </c>
      <c r="G180" s="20" t="n">
        <v>5500</v>
      </c>
      <c r="H180" s="21" t="n">
        <f aca="false">IF(AND($L180="Yes",ISERROR(SEARCH("%",$F180))),$G180*'Cover &amp; Legend'!$C$12,0)</f>
        <v>825</v>
      </c>
      <c r="I180" s="21" t="n">
        <f aca="false">IF(ISERROR(SEARCH("%",$F180)),$G180+$H180,0)</f>
        <v>6325</v>
      </c>
      <c r="J180" s="21" t="n">
        <v>5500</v>
      </c>
      <c r="K180" s="9" t="s">
        <v>105</v>
      </c>
      <c r="L180" s="18" t="s">
        <v>95</v>
      </c>
      <c r="M180" s="22" t="s">
        <v>96</v>
      </c>
      <c r="N180" s="23" t="s">
        <v>627</v>
      </c>
    </row>
    <row r="181" customFormat="false" ht="30" hidden="false" customHeight="true" outlineLevel="0" collapsed="false">
      <c r="A181" s="18" t="s">
        <v>640</v>
      </c>
      <c r="B181" s="9" t="s">
        <v>52</v>
      </c>
      <c r="C181" s="9" t="s">
        <v>622</v>
      </c>
      <c r="D181" s="9" t="s">
        <v>641</v>
      </c>
      <c r="E181" s="9" t="s">
        <v>219</v>
      </c>
      <c r="F181" s="9" t="s">
        <v>642</v>
      </c>
      <c r="G181" s="25" t="n">
        <v>12000</v>
      </c>
      <c r="H181" s="21" t="n">
        <f aca="false">IF(AND($L181="Yes",ISERROR(SEARCH("%",$F181))),$G181*'Cover &amp; Legend'!$C$12,0)</f>
        <v>1800</v>
      </c>
      <c r="I181" s="21" t="n">
        <f aca="false">IF(ISERROR(SEARCH("%",$F181)),$G181+$H181,0)</f>
        <v>13800</v>
      </c>
      <c r="J181" s="21" t="n">
        <v>12000</v>
      </c>
      <c r="K181" s="9" t="s">
        <v>94</v>
      </c>
      <c r="L181" s="18" t="s">
        <v>95</v>
      </c>
      <c r="M181" s="26" t="s">
        <v>185</v>
      </c>
      <c r="N181" s="23" t="s">
        <v>643</v>
      </c>
    </row>
    <row r="182" customFormat="false" ht="30" hidden="false" customHeight="true" outlineLevel="0" collapsed="false">
      <c r="A182" s="18" t="s">
        <v>644</v>
      </c>
      <c r="B182" s="9" t="s">
        <v>52</v>
      </c>
      <c r="C182" s="9" t="s">
        <v>622</v>
      </c>
      <c r="D182" s="9" t="s">
        <v>645</v>
      </c>
      <c r="E182" s="9" t="s">
        <v>219</v>
      </c>
      <c r="F182" s="9" t="s">
        <v>646</v>
      </c>
      <c r="G182" s="25" t="n">
        <v>100</v>
      </c>
      <c r="H182" s="21" t="n">
        <f aca="false">IF(AND($L182="Yes",ISERROR(SEARCH("%",$F182))),$G182*'Cover &amp; Legend'!$C$12,0)</f>
        <v>15</v>
      </c>
      <c r="I182" s="21" t="n">
        <f aca="false">IF(ISERROR(SEARCH("%",$F182)),$G182+$H182,0)</f>
        <v>115</v>
      </c>
      <c r="J182" s="21" t="n">
        <v>400</v>
      </c>
      <c r="K182" s="9" t="s">
        <v>274</v>
      </c>
      <c r="L182" s="18" t="s">
        <v>95</v>
      </c>
      <c r="M182" s="26" t="s">
        <v>185</v>
      </c>
      <c r="N182" s="23" t="s">
        <v>647</v>
      </c>
    </row>
    <row r="183" customFormat="false" ht="30" hidden="false" customHeight="true" outlineLevel="0" collapsed="false">
      <c r="A183" s="18" t="s">
        <v>648</v>
      </c>
      <c r="B183" s="9" t="s">
        <v>52</v>
      </c>
      <c r="C183" s="9" t="s">
        <v>649</v>
      </c>
      <c r="D183" s="9" t="s">
        <v>650</v>
      </c>
      <c r="E183" s="9" t="s">
        <v>219</v>
      </c>
      <c r="F183" s="9" t="s">
        <v>105</v>
      </c>
      <c r="G183" s="25" t="n">
        <v>900</v>
      </c>
      <c r="H183" s="21" t="n">
        <f aca="false">IF(AND($L183="Yes",ISERROR(SEARCH("%",$F183))),$G183*'Cover &amp; Legend'!$C$12,0)</f>
        <v>135</v>
      </c>
      <c r="I183" s="21" t="n">
        <f aca="false">IF(ISERROR(SEARCH("%",$F183)),$G183+$H183,0)</f>
        <v>1035</v>
      </c>
      <c r="J183" s="21" t="n">
        <v>900</v>
      </c>
      <c r="K183" s="9" t="s">
        <v>105</v>
      </c>
      <c r="L183" s="18" t="s">
        <v>95</v>
      </c>
      <c r="M183" s="26" t="s">
        <v>185</v>
      </c>
      <c r="N183" s="23" t="s">
        <v>651</v>
      </c>
    </row>
    <row r="184" customFormat="false" ht="30" hidden="false" customHeight="true" outlineLevel="0" collapsed="false">
      <c r="A184" s="18" t="s">
        <v>652</v>
      </c>
      <c r="B184" s="9" t="s">
        <v>52</v>
      </c>
      <c r="C184" s="9" t="s">
        <v>649</v>
      </c>
      <c r="D184" s="9" t="s">
        <v>653</v>
      </c>
      <c r="E184" s="9" t="s">
        <v>219</v>
      </c>
      <c r="F184" s="9" t="s">
        <v>105</v>
      </c>
      <c r="G184" s="25" t="n">
        <v>250</v>
      </c>
      <c r="H184" s="21" t="n">
        <f aca="false">IF(AND($L184="Yes",ISERROR(SEARCH("%",$F184))),$G184*'Cover &amp; Legend'!$C$12,0)</f>
        <v>37.5</v>
      </c>
      <c r="I184" s="21" t="n">
        <f aca="false">IF(ISERROR(SEARCH("%",$F184)),$G184+$H184,0)</f>
        <v>287.5</v>
      </c>
      <c r="J184" s="21" t="n">
        <v>250</v>
      </c>
      <c r="K184" s="9" t="s">
        <v>105</v>
      </c>
      <c r="L184" s="18" t="s">
        <v>95</v>
      </c>
      <c r="M184" s="26" t="s">
        <v>185</v>
      </c>
      <c r="N184" s="23" t="s">
        <v>421</v>
      </c>
    </row>
    <row r="185" customFormat="false" ht="30" hidden="false" customHeight="true" outlineLevel="0" collapsed="false">
      <c r="A185" s="18" t="s">
        <v>654</v>
      </c>
      <c r="B185" s="9" t="s">
        <v>52</v>
      </c>
      <c r="C185" s="9" t="s">
        <v>649</v>
      </c>
      <c r="D185" s="9" t="s">
        <v>655</v>
      </c>
      <c r="E185" s="9" t="s">
        <v>219</v>
      </c>
      <c r="F185" s="9" t="s">
        <v>105</v>
      </c>
      <c r="G185" s="25" t="n">
        <v>75</v>
      </c>
      <c r="H185" s="21" t="n">
        <f aca="false">IF(AND($L185="Yes",ISERROR(SEARCH("%",$F185))),$G185*'Cover &amp; Legend'!$C$12,0)</f>
        <v>11.25</v>
      </c>
      <c r="I185" s="21" t="n">
        <f aca="false">IF(ISERROR(SEARCH("%",$F185)),$G185+$H185,0)</f>
        <v>86.25</v>
      </c>
      <c r="J185" s="21" t="n">
        <v>75</v>
      </c>
      <c r="K185" s="9" t="s">
        <v>105</v>
      </c>
      <c r="L185" s="18" t="s">
        <v>95</v>
      </c>
      <c r="M185" s="26" t="s">
        <v>185</v>
      </c>
      <c r="N185" s="23" t="s">
        <v>421</v>
      </c>
    </row>
    <row r="186" customFormat="false" ht="30" hidden="false" customHeight="true" outlineLevel="0" collapsed="false">
      <c r="A186" s="18" t="s">
        <v>656</v>
      </c>
      <c r="B186" s="9" t="s">
        <v>52</v>
      </c>
      <c r="C186" s="9" t="s">
        <v>649</v>
      </c>
      <c r="D186" s="9" t="s">
        <v>657</v>
      </c>
      <c r="E186" s="9" t="s">
        <v>219</v>
      </c>
      <c r="F186" s="9" t="s">
        <v>105</v>
      </c>
      <c r="G186" s="25" t="n">
        <v>850</v>
      </c>
      <c r="H186" s="21" t="n">
        <f aca="false">IF(AND($L186="Yes",ISERROR(SEARCH("%",$F186))),$G186*'Cover &amp; Legend'!$C$12,0)</f>
        <v>127.5</v>
      </c>
      <c r="I186" s="21" t="n">
        <f aca="false">IF(ISERROR(SEARCH("%",$F186)),$G186+$H186,0)</f>
        <v>977.5</v>
      </c>
      <c r="J186" s="21" t="n">
        <v>850</v>
      </c>
      <c r="K186" s="9" t="s">
        <v>105</v>
      </c>
      <c r="L186" s="18" t="s">
        <v>95</v>
      </c>
      <c r="M186" s="26" t="s">
        <v>185</v>
      </c>
      <c r="N186" s="23" t="s">
        <v>421</v>
      </c>
    </row>
    <row r="187" customFormat="false" ht="30" hidden="false" customHeight="true" outlineLevel="0" collapsed="false">
      <c r="A187" s="18" t="s">
        <v>658</v>
      </c>
      <c r="B187" s="9" t="s">
        <v>52</v>
      </c>
      <c r="C187" s="9" t="s">
        <v>649</v>
      </c>
      <c r="D187" s="9" t="s">
        <v>659</v>
      </c>
      <c r="E187" s="9" t="s">
        <v>219</v>
      </c>
      <c r="F187" s="9" t="s">
        <v>105</v>
      </c>
      <c r="G187" s="25" t="n">
        <v>350</v>
      </c>
      <c r="H187" s="21" t="n">
        <f aca="false">IF(AND($L187="Yes",ISERROR(SEARCH("%",$F187))),$G187*'Cover &amp; Legend'!$C$12,0)</f>
        <v>52.5</v>
      </c>
      <c r="I187" s="21" t="n">
        <f aca="false">IF(ISERROR(SEARCH("%",$F187)),$G187+$H187,0)</f>
        <v>402.5</v>
      </c>
      <c r="J187" s="21" t="n">
        <v>350</v>
      </c>
      <c r="K187" s="9" t="s">
        <v>105</v>
      </c>
      <c r="L187" s="18" t="s">
        <v>95</v>
      </c>
      <c r="M187" s="26" t="s">
        <v>185</v>
      </c>
      <c r="N187" s="23" t="s">
        <v>421</v>
      </c>
    </row>
    <row r="188" customFormat="false" ht="30" hidden="false" customHeight="true" outlineLevel="0" collapsed="false">
      <c r="A188" s="18" t="s">
        <v>660</v>
      </c>
      <c r="B188" s="9" t="s">
        <v>52</v>
      </c>
      <c r="C188" s="9" t="s">
        <v>649</v>
      </c>
      <c r="D188" s="9" t="s">
        <v>661</v>
      </c>
      <c r="E188" s="9" t="s">
        <v>219</v>
      </c>
      <c r="F188" s="9" t="s">
        <v>105</v>
      </c>
      <c r="G188" s="25" t="n">
        <v>200</v>
      </c>
      <c r="H188" s="21" t="n">
        <f aca="false">IF(AND($L188="Yes",ISERROR(SEARCH("%",$F188))),$G188*'Cover &amp; Legend'!$C$12,0)</f>
        <v>30</v>
      </c>
      <c r="I188" s="21" t="n">
        <f aca="false">IF(ISERROR(SEARCH("%",$F188)),$G188+$H188,0)</f>
        <v>230</v>
      </c>
      <c r="J188" s="21" t="n">
        <v>200</v>
      </c>
      <c r="K188" s="9" t="s">
        <v>105</v>
      </c>
      <c r="L188" s="18" t="s">
        <v>95</v>
      </c>
      <c r="M188" s="26" t="s">
        <v>185</v>
      </c>
      <c r="N188" s="23" t="s">
        <v>421</v>
      </c>
    </row>
    <row r="189" customFormat="false" ht="30" hidden="false" customHeight="true" outlineLevel="0" collapsed="false">
      <c r="A189" s="18" t="s">
        <v>662</v>
      </c>
      <c r="B189" s="9" t="s">
        <v>52</v>
      </c>
      <c r="C189" s="9" t="s">
        <v>649</v>
      </c>
      <c r="D189" s="9" t="s">
        <v>663</v>
      </c>
      <c r="E189" s="9" t="s">
        <v>219</v>
      </c>
      <c r="F189" s="9" t="s">
        <v>105</v>
      </c>
      <c r="G189" s="25" t="n">
        <v>150</v>
      </c>
      <c r="H189" s="21" t="n">
        <f aca="false">IF(AND($L189="Yes",ISERROR(SEARCH("%",$F189))),$G189*'Cover &amp; Legend'!$C$12,0)</f>
        <v>22.5</v>
      </c>
      <c r="I189" s="21" t="n">
        <f aca="false">IF(ISERROR(SEARCH("%",$F189)),$G189+$H189,0)</f>
        <v>172.5</v>
      </c>
      <c r="J189" s="21" t="n">
        <v>150</v>
      </c>
      <c r="K189" s="9" t="s">
        <v>105</v>
      </c>
      <c r="L189" s="18" t="s">
        <v>95</v>
      </c>
      <c r="M189" s="26" t="s">
        <v>185</v>
      </c>
      <c r="N189" s="23" t="s">
        <v>421</v>
      </c>
    </row>
    <row r="190" customFormat="false" ht="30" hidden="false" customHeight="true" outlineLevel="0" collapsed="false">
      <c r="A190" s="18" t="s">
        <v>664</v>
      </c>
      <c r="B190" s="9" t="s">
        <v>52</v>
      </c>
      <c r="C190" s="9" t="s">
        <v>665</v>
      </c>
      <c r="D190" s="9" t="s">
        <v>666</v>
      </c>
      <c r="E190" s="9" t="s">
        <v>667</v>
      </c>
      <c r="F190" s="9" t="s">
        <v>105</v>
      </c>
      <c r="G190" s="25" t="n">
        <v>3500</v>
      </c>
      <c r="H190" s="21" t="n">
        <f aca="false">IF(AND($L190="Yes",ISERROR(SEARCH("%",$F190))),$G190*'Cover &amp; Legend'!$C$12,0)</f>
        <v>525</v>
      </c>
      <c r="I190" s="21" t="n">
        <f aca="false">IF(ISERROR(SEARCH("%",$F190)),$G190+$H190,0)</f>
        <v>4025</v>
      </c>
      <c r="J190" s="21" t="n">
        <v>3500</v>
      </c>
      <c r="K190" s="9" t="s">
        <v>105</v>
      </c>
      <c r="L190" s="18" t="s">
        <v>95</v>
      </c>
      <c r="M190" s="26" t="s">
        <v>185</v>
      </c>
      <c r="N190" s="23" t="s">
        <v>668</v>
      </c>
    </row>
    <row r="191" customFormat="false" ht="30" hidden="false" customHeight="true" outlineLevel="0" collapsed="false">
      <c r="A191" s="18" t="s">
        <v>669</v>
      </c>
      <c r="B191" s="9" t="s">
        <v>52</v>
      </c>
      <c r="C191" s="9" t="s">
        <v>665</v>
      </c>
      <c r="D191" s="9" t="s">
        <v>670</v>
      </c>
      <c r="E191" s="9" t="s">
        <v>667</v>
      </c>
      <c r="F191" s="9" t="s">
        <v>105</v>
      </c>
      <c r="G191" s="25" t="n">
        <v>1800</v>
      </c>
      <c r="H191" s="21" t="n">
        <f aca="false">IF(AND($L191="Yes",ISERROR(SEARCH("%",$F191))),$G191*'Cover &amp; Legend'!$C$12,0)</f>
        <v>270</v>
      </c>
      <c r="I191" s="21" t="n">
        <f aca="false">IF(ISERROR(SEARCH("%",$F191)),$G191+$H191,0)</f>
        <v>2070</v>
      </c>
      <c r="J191" s="21" t="n">
        <v>1800</v>
      </c>
      <c r="K191" s="9" t="s">
        <v>105</v>
      </c>
      <c r="L191" s="18" t="s">
        <v>95</v>
      </c>
      <c r="M191" s="26" t="s">
        <v>185</v>
      </c>
      <c r="N191" s="23" t="s">
        <v>421</v>
      </c>
    </row>
    <row r="192" customFormat="false" ht="30" hidden="false" customHeight="true" outlineLevel="0" collapsed="false">
      <c r="A192" s="18" t="s">
        <v>671</v>
      </c>
      <c r="B192" s="9" t="s">
        <v>52</v>
      </c>
      <c r="C192" s="9" t="s">
        <v>672</v>
      </c>
      <c r="D192" s="9" t="s">
        <v>673</v>
      </c>
      <c r="E192" s="9" t="s">
        <v>219</v>
      </c>
      <c r="F192" s="9" t="s">
        <v>674</v>
      </c>
      <c r="G192" s="25" t="n">
        <v>750</v>
      </c>
      <c r="H192" s="21" t="n">
        <f aca="false">IF(AND($L192="Yes",ISERROR(SEARCH("%",$F192))),$G192*'Cover &amp; Legend'!$C$12,0)</f>
        <v>112.5</v>
      </c>
      <c r="I192" s="21" t="n">
        <f aca="false">IF(ISERROR(SEARCH("%",$F192)),$G192+$H192,0)</f>
        <v>862.5</v>
      </c>
      <c r="J192" s="21" t="n">
        <v>750</v>
      </c>
      <c r="K192" s="9" t="s">
        <v>274</v>
      </c>
      <c r="L192" s="18" t="s">
        <v>95</v>
      </c>
      <c r="M192" s="26" t="s">
        <v>185</v>
      </c>
      <c r="N192" s="23" t="s">
        <v>675</v>
      </c>
    </row>
    <row r="193" customFormat="false" ht="30" hidden="false" customHeight="true" outlineLevel="0" collapsed="false">
      <c r="A193" s="18" t="s">
        <v>676</v>
      </c>
      <c r="B193" s="9" t="s">
        <v>52</v>
      </c>
      <c r="C193" s="9" t="s">
        <v>672</v>
      </c>
      <c r="D193" s="9" t="s">
        <v>677</v>
      </c>
      <c r="E193" s="9" t="s">
        <v>219</v>
      </c>
      <c r="F193" s="9" t="s">
        <v>646</v>
      </c>
      <c r="G193" s="25" t="n">
        <v>100</v>
      </c>
      <c r="H193" s="21" t="n">
        <f aca="false">IF(AND($L193="Yes",ISERROR(SEARCH("%",$F193))),$G193*'Cover &amp; Legend'!$C$12,0)</f>
        <v>15</v>
      </c>
      <c r="I193" s="21" t="n">
        <f aca="false">IF(ISERROR(SEARCH("%",$F193)),$G193+$H193,0)</f>
        <v>115</v>
      </c>
      <c r="J193" s="21" t="n">
        <v>100</v>
      </c>
      <c r="K193" s="9" t="s">
        <v>274</v>
      </c>
      <c r="L193" s="18" t="s">
        <v>95</v>
      </c>
      <c r="M193" s="26" t="s">
        <v>185</v>
      </c>
      <c r="N193" s="23" t="s">
        <v>678</v>
      </c>
    </row>
    <row r="194" customFormat="false" ht="30" hidden="false" customHeight="true" outlineLevel="0" collapsed="false">
      <c r="A194" s="18" t="s">
        <v>679</v>
      </c>
      <c r="B194" s="9" t="s">
        <v>52</v>
      </c>
      <c r="C194" s="9" t="s">
        <v>672</v>
      </c>
      <c r="D194" s="9" t="s">
        <v>680</v>
      </c>
      <c r="E194" s="9" t="s">
        <v>219</v>
      </c>
      <c r="F194" s="9" t="s">
        <v>681</v>
      </c>
      <c r="G194" s="27" t="n">
        <v>0</v>
      </c>
      <c r="H194" s="21" t="n">
        <f aca="false">IF(AND($L194="Yes",ISERROR(SEARCH("%",$F194))),$G194*'Cover &amp; Legend'!$C$12,0)</f>
        <v>0</v>
      </c>
      <c r="I194" s="21" t="n">
        <f aca="false">IF(ISERROR(SEARCH("%",$F194)),$G194+$H194,0)</f>
        <v>0</v>
      </c>
      <c r="J194" s="21" t="n">
        <v>0</v>
      </c>
      <c r="K194" s="9" t="s">
        <v>274</v>
      </c>
      <c r="L194" s="18" t="s">
        <v>95</v>
      </c>
      <c r="M194" s="26" t="s">
        <v>185</v>
      </c>
      <c r="N194" s="23" t="s">
        <v>682</v>
      </c>
    </row>
    <row r="195" customFormat="false" ht="30" hidden="false" customHeight="true" outlineLevel="0" collapsed="false">
      <c r="A195" s="18" t="s">
        <v>683</v>
      </c>
      <c r="B195" s="19" t="s">
        <v>54</v>
      </c>
      <c r="C195" s="9" t="s">
        <v>684</v>
      </c>
      <c r="D195" s="9" t="s">
        <v>685</v>
      </c>
      <c r="E195" s="9" t="s">
        <v>219</v>
      </c>
      <c r="F195" s="9" t="s">
        <v>646</v>
      </c>
      <c r="G195" s="20" t="n">
        <v>50</v>
      </c>
      <c r="H195" s="21" t="n">
        <f aca="false">IF(AND($L195="Yes",ISERROR(SEARCH("%",$F195))),$G195*'Cover &amp; Legend'!$C$12,0)</f>
        <v>7.5</v>
      </c>
      <c r="I195" s="21" t="n">
        <f aca="false">IF(ISERROR(SEARCH("%",$F195)),$G195+$H195,0)</f>
        <v>57.5</v>
      </c>
      <c r="J195" s="21" t="n">
        <v>200</v>
      </c>
      <c r="K195" s="9" t="s">
        <v>274</v>
      </c>
      <c r="L195" s="18" t="s">
        <v>95</v>
      </c>
      <c r="M195" s="22" t="s">
        <v>96</v>
      </c>
      <c r="N195" s="23" t="s">
        <v>686</v>
      </c>
    </row>
    <row r="196" customFormat="false" ht="30" hidden="false" customHeight="true" outlineLevel="0" collapsed="false">
      <c r="A196" s="18" t="s">
        <v>687</v>
      </c>
      <c r="B196" s="9" t="s">
        <v>54</v>
      </c>
      <c r="C196" s="9" t="s">
        <v>684</v>
      </c>
      <c r="D196" s="9" t="s">
        <v>688</v>
      </c>
      <c r="E196" s="9" t="s">
        <v>219</v>
      </c>
      <c r="F196" s="9" t="s">
        <v>105</v>
      </c>
      <c r="G196" s="20" t="n">
        <v>350</v>
      </c>
      <c r="H196" s="21" t="n">
        <f aca="false">IF(AND($L196="Yes",ISERROR(SEARCH("%",$F196))),$G196*'Cover &amp; Legend'!$C$12,0)</f>
        <v>52.5</v>
      </c>
      <c r="I196" s="21" t="n">
        <f aca="false">IF(ISERROR(SEARCH("%",$F196)),$G196+$H196,0)</f>
        <v>402.5</v>
      </c>
      <c r="J196" s="21" t="n">
        <v>350</v>
      </c>
      <c r="K196" s="9" t="s">
        <v>105</v>
      </c>
      <c r="L196" s="18" t="s">
        <v>95</v>
      </c>
      <c r="M196" s="22" t="s">
        <v>96</v>
      </c>
      <c r="N196" s="23" t="s">
        <v>689</v>
      </c>
    </row>
    <row r="197" customFormat="false" ht="30" hidden="false" customHeight="true" outlineLevel="0" collapsed="false">
      <c r="A197" s="18" t="s">
        <v>690</v>
      </c>
      <c r="B197" s="9" t="s">
        <v>54</v>
      </c>
      <c r="C197" s="9" t="s">
        <v>684</v>
      </c>
      <c r="D197" s="9" t="s">
        <v>691</v>
      </c>
      <c r="E197" s="9" t="s">
        <v>219</v>
      </c>
      <c r="F197" s="9" t="s">
        <v>642</v>
      </c>
      <c r="G197" s="25" t="n">
        <v>7500</v>
      </c>
      <c r="H197" s="21" t="n">
        <f aca="false">IF(AND($L197="Yes",ISERROR(SEARCH("%",$F197))),$G197*'Cover &amp; Legend'!$C$12,0)</f>
        <v>1125</v>
      </c>
      <c r="I197" s="21" t="n">
        <f aca="false">IF(ISERROR(SEARCH("%",$F197)),$G197+$H197,0)</f>
        <v>8625</v>
      </c>
      <c r="J197" s="21" t="n">
        <v>7500</v>
      </c>
      <c r="K197" s="9" t="s">
        <v>94</v>
      </c>
      <c r="L197" s="18" t="s">
        <v>95</v>
      </c>
      <c r="M197" s="26" t="s">
        <v>185</v>
      </c>
      <c r="N197" s="23" t="s">
        <v>692</v>
      </c>
    </row>
    <row r="198" customFormat="false" ht="30" hidden="false" customHeight="true" outlineLevel="0" collapsed="false">
      <c r="A198" s="18" t="s">
        <v>693</v>
      </c>
      <c r="B198" s="9" t="s">
        <v>54</v>
      </c>
      <c r="C198" s="9" t="s">
        <v>684</v>
      </c>
      <c r="D198" s="9" t="s">
        <v>694</v>
      </c>
      <c r="E198" s="9" t="s">
        <v>219</v>
      </c>
      <c r="F198" s="9" t="s">
        <v>105</v>
      </c>
      <c r="G198" s="25" t="n">
        <v>450</v>
      </c>
      <c r="H198" s="21" t="n">
        <f aca="false">IF(AND($L198="Yes",ISERROR(SEARCH("%",$F198))),$G198*'Cover &amp; Legend'!$C$12,0)</f>
        <v>67.5</v>
      </c>
      <c r="I198" s="21" t="n">
        <f aca="false">IF(ISERROR(SEARCH("%",$F198)),$G198+$H198,0)</f>
        <v>517.5</v>
      </c>
      <c r="J198" s="21" t="n">
        <v>450</v>
      </c>
      <c r="K198" s="9" t="s">
        <v>105</v>
      </c>
      <c r="L198" s="18" t="s">
        <v>95</v>
      </c>
      <c r="M198" s="26" t="s">
        <v>185</v>
      </c>
      <c r="N198" s="23" t="s">
        <v>695</v>
      </c>
    </row>
    <row r="199" customFormat="false" ht="30" hidden="false" customHeight="true" outlineLevel="0" collapsed="false">
      <c r="A199" s="18" t="s">
        <v>696</v>
      </c>
      <c r="B199" s="9" t="s">
        <v>54</v>
      </c>
      <c r="C199" s="9" t="s">
        <v>697</v>
      </c>
      <c r="D199" s="9" t="s">
        <v>698</v>
      </c>
      <c r="E199" s="9" t="s">
        <v>219</v>
      </c>
      <c r="F199" s="9" t="s">
        <v>646</v>
      </c>
      <c r="G199" s="20" t="n">
        <v>100</v>
      </c>
      <c r="H199" s="21" t="n">
        <f aca="false">IF(AND($L199="Yes",ISERROR(SEARCH("%",$F199))),$G199*'Cover &amp; Legend'!$C$12,0)</f>
        <v>15</v>
      </c>
      <c r="I199" s="21" t="n">
        <f aca="false">IF(ISERROR(SEARCH("%",$F199)),$G199+$H199,0)</f>
        <v>115</v>
      </c>
      <c r="J199" s="21" t="n">
        <v>400</v>
      </c>
      <c r="K199" s="9" t="s">
        <v>274</v>
      </c>
      <c r="L199" s="18" t="s">
        <v>95</v>
      </c>
      <c r="M199" s="24" t="s">
        <v>111</v>
      </c>
      <c r="N199" s="23" t="s">
        <v>699</v>
      </c>
    </row>
    <row r="200" customFormat="false" ht="30" hidden="false" customHeight="true" outlineLevel="0" collapsed="false">
      <c r="A200" s="18" t="s">
        <v>700</v>
      </c>
      <c r="B200" s="9" t="s">
        <v>54</v>
      </c>
      <c r="C200" s="9" t="s">
        <v>697</v>
      </c>
      <c r="D200" s="9" t="s">
        <v>701</v>
      </c>
      <c r="E200" s="9" t="s">
        <v>219</v>
      </c>
      <c r="F200" s="9" t="s">
        <v>105</v>
      </c>
      <c r="G200" s="20" t="n">
        <v>700</v>
      </c>
      <c r="H200" s="21" t="n">
        <f aca="false">IF(AND($L200="Yes",ISERROR(SEARCH("%",$F200))),$G200*'Cover &amp; Legend'!$C$12,0)</f>
        <v>105</v>
      </c>
      <c r="I200" s="21" t="n">
        <f aca="false">IF(ISERROR(SEARCH("%",$F200)),$G200+$H200,0)</f>
        <v>805</v>
      </c>
      <c r="J200" s="21" t="n">
        <v>700</v>
      </c>
      <c r="K200" s="9" t="s">
        <v>105</v>
      </c>
      <c r="L200" s="18" t="s">
        <v>95</v>
      </c>
      <c r="M200" s="24" t="s">
        <v>111</v>
      </c>
      <c r="N200" s="23" t="s">
        <v>702</v>
      </c>
    </row>
    <row r="201" customFormat="false" ht="30" hidden="false" customHeight="true" outlineLevel="0" collapsed="false">
      <c r="A201" s="18" t="s">
        <v>703</v>
      </c>
      <c r="B201" s="9" t="s">
        <v>54</v>
      </c>
      <c r="C201" s="9" t="s">
        <v>697</v>
      </c>
      <c r="D201" s="9" t="s">
        <v>704</v>
      </c>
      <c r="E201" s="9" t="s">
        <v>219</v>
      </c>
      <c r="F201" s="9" t="s">
        <v>642</v>
      </c>
      <c r="G201" s="25" t="n">
        <v>15000</v>
      </c>
      <c r="H201" s="21" t="n">
        <f aca="false">IF(AND($L201="Yes",ISERROR(SEARCH("%",$F201))),$G201*'Cover &amp; Legend'!$C$12,0)</f>
        <v>2250</v>
      </c>
      <c r="I201" s="21" t="n">
        <f aca="false">IF(ISERROR(SEARCH("%",$F201)),$G201+$H201,0)</f>
        <v>17250</v>
      </c>
      <c r="J201" s="21" t="n">
        <v>15000</v>
      </c>
      <c r="K201" s="9" t="s">
        <v>94</v>
      </c>
      <c r="L201" s="18" t="s">
        <v>95</v>
      </c>
      <c r="M201" s="26" t="s">
        <v>185</v>
      </c>
      <c r="N201" s="23" t="s">
        <v>705</v>
      </c>
    </row>
    <row r="202" customFormat="false" ht="30" hidden="false" customHeight="true" outlineLevel="0" collapsed="false">
      <c r="A202" s="18" t="s">
        <v>706</v>
      </c>
      <c r="B202" s="9" t="s">
        <v>54</v>
      </c>
      <c r="C202" s="9" t="s">
        <v>697</v>
      </c>
      <c r="D202" s="9" t="s">
        <v>707</v>
      </c>
      <c r="E202" s="9" t="s">
        <v>241</v>
      </c>
      <c r="F202" s="9" t="s">
        <v>642</v>
      </c>
      <c r="G202" s="25" t="n">
        <v>28000</v>
      </c>
      <c r="H202" s="21" t="n">
        <f aca="false">IF(AND($L202="Yes",ISERROR(SEARCH("%",$F202))),$G202*'Cover &amp; Legend'!$C$12,0)</f>
        <v>4200</v>
      </c>
      <c r="I202" s="21" t="n">
        <f aca="false">IF(ISERROR(SEARCH("%",$F202)),$G202+$H202,0)</f>
        <v>32200</v>
      </c>
      <c r="J202" s="21" t="n">
        <v>28000</v>
      </c>
      <c r="K202" s="9" t="s">
        <v>94</v>
      </c>
      <c r="L202" s="18" t="s">
        <v>95</v>
      </c>
      <c r="M202" s="26" t="s">
        <v>185</v>
      </c>
      <c r="N202" s="23" t="s">
        <v>708</v>
      </c>
    </row>
    <row r="203" customFormat="false" ht="30" hidden="false" customHeight="true" outlineLevel="0" collapsed="false">
      <c r="A203" s="18" t="s">
        <v>709</v>
      </c>
      <c r="B203" s="9" t="s">
        <v>54</v>
      </c>
      <c r="C203" s="9" t="s">
        <v>697</v>
      </c>
      <c r="D203" s="9" t="s">
        <v>710</v>
      </c>
      <c r="E203" s="9" t="s">
        <v>219</v>
      </c>
      <c r="F203" s="9" t="s">
        <v>642</v>
      </c>
      <c r="G203" s="25" t="n">
        <v>9500</v>
      </c>
      <c r="H203" s="21" t="n">
        <f aca="false">IF(AND($L203="Yes",ISERROR(SEARCH("%",$F203))),$G203*'Cover &amp; Legend'!$C$12,0)</f>
        <v>1425</v>
      </c>
      <c r="I203" s="21" t="n">
        <f aca="false">IF(ISERROR(SEARCH("%",$F203)),$G203+$H203,0)</f>
        <v>10925</v>
      </c>
      <c r="J203" s="21" t="n">
        <v>9500</v>
      </c>
      <c r="K203" s="9" t="s">
        <v>94</v>
      </c>
      <c r="L203" s="18" t="s">
        <v>95</v>
      </c>
      <c r="M203" s="26" t="s">
        <v>185</v>
      </c>
      <c r="N203" s="23" t="s">
        <v>421</v>
      </c>
    </row>
    <row r="204" customFormat="false" ht="30" hidden="false" customHeight="true" outlineLevel="0" collapsed="false">
      <c r="A204" s="18" t="s">
        <v>711</v>
      </c>
      <c r="B204" s="9" t="s">
        <v>54</v>
      </c>
      <c r="C204" s="9" t="s">
        <v>712</v>
      </c>
      <c r="D204" s="9" t="s">
        <v>713</v>
      </c>
      <c r="E204" s="9" t="s">
        <v>219</v>
      </c>
      <c r="F204" s="9" t="s">
        <v>646</v>
      </c>
      <c r="G204" s="20" t="n">
        <v>75</v>
      </c>
      <c r="H204" s="21" t="n">
        <f aca="false">IF(AND($L204="Yes",ISERROR(SEARCH("%",$F204))),$G204*'Cover &amp; Legend'!$C$12,0)</f>
        <v>11.25</v>
      </c>
      <c r="I204" s="21" t="n">
        <f aca="false">IF(ISERROR(SEARCH("%",$F204)),$G204+$H204,0)</f>
        <v>86.25</v>
      </c>
      <c r="J204" s="21" t="n">
        <v>150</v>
      </c>
      <c r="K204" s="9" t="s">
        <v>274</v>
      </c>
      <c r="L204" s="18" t="s">
        <v>95</v>
      </c>
      <c r="M204" s="24" t="s">
        <v>111</v>
      </c>
      <c r="N204" s="23" t="s">
        <v>714</v>
      </c>
    </row>
    <row r="205" customFormat="false" ht="30" hidden="false" customHeight="true" outlineLevel="0" collapsed="false">
      <c r="A205" s="18" t="s">
        <v>715</v>
      </c>
      <c r="B205" s="9" t="s">
        <v>54</v>
      </c>
      <c r="C205" s="9" t="s">
        <v>712</v>
      </c>
      <c r="D205" s="9" t="s">
        <v>716</v>
      </c>
      <c r="E205" s="9" t="s">
        <v>219</v>
      </c>
      <c r="F205" s="9" t="s">
        <v>646</v>
      </c>
      <c r="G205" s="20" t="n">
        <v>150</v>
      </c>
      <c r="H205" s="21" t="n">
        <f aca="false">IF(AND($L205="Yes",ISERROR(SEARCH("%",$F205))),$G205*'Cover &amp; Legend'!$C$12,0)</f>
        <v>22.5</v>
      </c>
      <c r="I205" s="21" t="n">
        <f aca="false">IF(ISERROR(SEARCH("%",$F205)),$G205+$H205,0)</f>
        <v>172.5</v>
      </c>
      <c r="J205" s="21" t="n">
        <v>300</v>
      </c>
      <c r="K205" s="9" t="s">
        <v>274</v>
      </c>
      <c r="L205" s="18" t="s">
        <v>95</v>
      </c>
      <c r="M205" s="22" t="s">
        <v>96</v>
      </c>
      <c r="N205" s="23" t="s">
        <v>717</v>
      </c>
    </row>
    <row r="206" customFormat="false" ht="30" hidden="false" customHeight="true" outlineLevel="0" collapsed="false">
      <c r="A206" s="18" t="s">
        <v>718</v>
      </c>
      <c r="B206" s="9" t="s">
        <v>54</v>
      </c>
      <c r="C206" s="9" t="s">
        <v>719</v>
      </c>
      <c r="D206" s="9" t="s">
        <v>720</v>
      </c>
      <c r="E206" s="9" t="s">
        <v>219</v>
      </c>
      <c r="F206" s="9" t="s">
        <v>646</v>
      </c>
      <c r="G206" s="25" t="n">
        <v>75</v>
      </c>
      <c r="H206" s="21" t="n">
        <f aca="false">IF(AND($L206="Yes",ISERROR(SEARCH("%",$F206))),$G206*'Cover &amp; Legend'!$C$12,0)</f>
        <v>11.25</v>
      </c>
      <c r="I206" s="21" t="n">
        <f aca="false">IF(ISERROR(SEARCH("%",$F206)),$G206+$H206,0)</f>
        <v>86.25</v>
      </c>
      <c r="J206" s="21" t="n">
        <v>300</v>
      </c>
      <c r="K206" s="9" t="s">
        <v>274</v>
      </c>
      <c r="L206" s="18" t="s">
        <v>95</v>
      </c>
      <c r="M206" s="26" t="s">
        <v>185</v>
      </c>
      <c r="N206" s="23" t="s">
        <v>721</v>
      </c>
    </row>
    <row r="207" customFormat="false" ht="30" hidden="false" customHeight="true" outlineLevel="0" collapsed="false">
      <c r="A207" s="18" t="s">
        <v>722</v>
      </c>
      <c r="B207" s="9" t="s">
        <v>54</v>
      </c>
      <c r="C207" s="9" t="s">
        <v>719</v>
      </c>
      <c r="D207" s="9" t="s">
        <v>723</v>
      </c>
      <c r="E207" s="9" t="s">
        <v>219</v>
      </c>
      <c r="F207" s="9" t="s">
        <v>105</v>
      </c>
      <c r="G207" s="25" t="n">
        <v>525</v>
      </c>
      <c r="H207" s="21" t="n">
        <f aca="false">IF(AND($L207="Yes",ISERROR(SEARCH("%",$F207))),$G207*'Cover &amp; Legend'!$C$12,0)</f>
        <v>78.75</v>
      </c>
      <c r="I207" s="21" t="n">
        <f aca="false">IF(ISERROR(SEARCH("%",$F207)),$G207+$H207,0)</f>
        <v>603.75</v>
      </c>
      <c r="J207" s="21" t="n">
        <v>525</v>
      </c>
      <c r="K207" s="9" t="s">
        <v>105</v>
      </c>
      <c r="L207" s="18" t="s">
        <v>95</v>
      </c>
      <c r="M207" s="26" t="s">
        <v>185</v>
      </c>
      <c r="N207" s="23" t="s">
        <v>724</v>
      </c>
    </row>
    <row r="208" customFormat="false" ht="30" hidden="false" customHeight="true" outlineLevel="0" collapsed="false">
      <c r="A208" s="18" t="s">
        <v>725</v>
      </c>
      <c r="B208" s="9" t="s">
        <v>54</v>
      </c>
      <c r="C208" s="9" t="s">
        <v>719</v>
      </c>
      <c r="D208" s="9" t="s">
        <v>726</v>
      </c>
      <c r="E208" s="9" t="s">
        <v>219</v>
      </c>
      <c r="F208" s="9" t="s">
        <v>646</v>
      </c>
      <c r="G208" s="25" t="n">
        <v>150</v>
      </c>
      <c r="H208" s="21" t="n">
        <f aca="false">IF(AND($L208="Yes",ISERROR(SEARCH("%",$F208))),$G208*'Cover &amp; Legend'!$C$12,0)</f>
        <v>22.5</v>
      </c>
      <c r="I208" s="21" t="n">
        <f aca="false">IF(ISERROR(SEARCH("%",$F208)),$G208+$H208,0)</f>
        <v>172.5</v>
      </c>
      <c r="J208" s="21" t="n">
        <v>600</v>
      </c>
      <c r="K208" s="9" t="s">
        <v>274</v>
      </c>
      <c r="L208" s="18" t="s">
        <v>95</v>
      </c>
      <c r="M208" s="26" t="s">
        <v>185</v>
      </c>
      <c r="N208" s="23" t="s">
        <v>724</v>
      </c>
    </row>
    <row r="209" customFormat="false" ht="30" hidden="false" customHeight="true" outlineLevel="0" collapsed="false">
      <c r="A209" s="18" t="s">
        <v>727</v>
      </c>
      <c r="B209" s="9" t="s">
        <v>54</v>
      </c>
      <c r="C209" s="9" t="s">
        <v>719</v>
      </c>
      <c r="D209" s="9" t="s">
        <v>728</v>
      </c>
      <c r="E209" s="9" t="s">
        <v>219</v>
      </c>
      <c r="F209" s="9" t="s">
        <v>105</v>
      </c>
      <c r="G209" s="25" t="n">
        <v>1050</v>
      </c>
      <c r="H209" s="21" t="n">
        <f aca="false">IF(AND($L209="Yes",ISERROR(SEARCH("%",$F209))),$G209*'Cover &amp; Legend'!$C$12,0)</f>
        <v>157.5</v>
      </c>
      <c r="I209" s="21" t="n">
        <f aca="false">IF(ISERROR(SEARCH("%",$F209)),$G209+$H209,0)</f>
        <v>1207.5</v>
      </c>
      <c r="J209" s="21" t="n">
        <v>1050</v>
      </c>
      <c r="K209" s="9" t="s">
        <v>105</v>
      </c>
      <c r="L209" s="18" t="s">
        <v>95</v>
      </c>
      <c r="M209" s="26" t="s">
        <v>185</v>
      </c>
      <c r="N209" s="23" t="s">
        <v>724</v>
      </c>
    </row>
    <row r="210" customFormat="false" ht="30" hidden="false" customHeight="true" outlineLevel="0" collapsed="false">
      <c r="A210" s="18" t="s">
        <v>729</v>
      </c>
      <c r="B210" s="9" t="s">
        <v>54</v>
      </c>
      <c r="C210" s="9" t="s">
        <v>730</v>
      </c>
      <c r="D210" s="9" t="s">
        <v>731</v>
      </c>
      <c r="E210" s="9" t="s">
        <v>219</v>
      </c>
      <c r="F210" s="9" t="s">
        <v>646</v>
      </c>
      <c r="G210" s="20" t="n">
        <v>100</v>
      </c>
      <c r="H210" s="21" t="n">
        <f aca="false">IF(AND($L210="Yes",ISERROR(SEARCH("%",$F210))),$G210*'Cover &amp; Legend'!$C$12,0)</f>
        <v>15</v>
      </c>
      <c r="I210" s="21" t="n">
        <f aca="false">IF(ISERROR(SEARCH("%",$F210)),$G210+$H210,0)</f>
        <v>115</v>
      </c>
      <c r="J210" s="21" t="n">
        <v>400</v>
      </c>
      <c r="K210" s="9" t="s">
        <v>274</v>
      </c>
      <c r="L210" s="18" t="s">
        <v>95</v>
      </c>
      <c r="M210" s="24" t="s">
        <v>111</v>
      </c>
      <c r="N210" s="23" t="s">
        <v>732</v>
      </c>
    </row>
    <row r="211" customFormat="false" ht="30" hidden="false" customHeight="true" outlineLevel="0" collapsed="false">
      <c r="A211" s="18" t="s">
        <v>733</v>
      </c>
      <c r="B211" s="9" t="s">
        <v>54</v>
      </c>
      <c r="C211" s="9" t="s">
        <v>730</v>
      </c>
      <c r="D211" s="9" t="s">
        <v>734</v>
      </c>
      <c r="E211" s="9" t="s">
        <v>219</v>
      </c>
      <c r="F211" s="9" t="s">
        <v>105</v>
      </c>
      <c r="G211" s="20" t="n">
        <v>700</v>
      </c>
      <c r="H211" s="21" t="n">
        <f aca="false">IF(AND($L211="Yes",ISERROR(SEARCH("%",$F211))),$G211*'Cover &amp; Legend'!$C$12,0)</f>
        <v>105</v>
      </c>
      <c r="I211" s="21" t="n">
        <f aca="false">IF(ISERROR(SEARCH("%",$F211)),$G211+$H211,0)</f>
        <v>805</v>
      </c>
      <c r="J211" s="21" t="n">
        <v>700</v>
      </c>
      <c r="K211" s="9" t="s">
        <v>105</v>
      </c>
      <c r="L211" s="18" t="s">
        <v>95</v>
      </c>
      <c r="M211" s="24" t="s">
        <v>111</v>
      </c>
      <c r="N211" s="23" t="s">
        <v>735</v>
      </c>
    </row>
    <row r="212" customFormat="false" ht="30" hidden="false" customHeight="true" outlineLevel="0" collapsed="false">
      <c r="A212" s="18" t="s">
        <v>736</v>
      </c>
      <c r="B212" s="9" t="s">
        <v>54</v>
      </c>
      <c r="C212" s="9" t="s">
        <v>730</v>
      </c>
      <c r="D212" s="9" t="s">
        <v>737</v>
      </c>
      <c r="E212" s="9" t="s">
        <v>219</v>
      </c>
      <c r="F212" s="9" t="s">
        <v>646</v>
      </c>
      <c r="G212" s="20" t="n">
        <v>200</v>
      </c>
      <c r="H212" s="21" t="n">
        <f aca="false">IF(AND($L212="Yes",ISERROR(SEARCH("%",$F212))),$G212*'Cover &amp; Legend'!$C$12,0)</f>
        <v>30</v>
      </c>
      <c r="I212" s="21" t="n">
        <f aca="false">IF(ISERROR(SEARCH("%",$F212)),$G212+$H212,0)</f>
        <v>230</v>
      </c>
      <c r="J212" s="21" t="n">
        <v>800</v>
      </c>
      <c r="K212" s="9" t="s">
        <v>274</v>
      </c>
      <c r="L212" s="18" t="s">
        <v>95</v>
      </c>
      <c r="M212" s="24" t="s">
        <v>111</v>
      </c>
      <c r="N212" s="23" t="s">
        <v>738</v>
      </c>
    </row>
    <row r="213" customFormat="false" ht="30" hidden="false" customHeight="true" outlineLevel="0" collapsed="false">
      <c r="A213" s="18" t="s">
        <v>739</v>
      </c>
      <c r="B213" s="9" t="s">
        <v>54</v>
      </c>
      <c r="C213" s="9" t="s">
        <v>730</v>
      </c>
      <c r="D213" s="9" t="s">
        <v>740</v>
      </c>
      <c r="E213" s="9" t="s">
        <v>219</v>
      </c>
      <c r="F213" s="9" t="s">
        <v>105</v>
      </c>
      <c r="G213" s="20" t="n">
        <v>1400</v>
      </c>
      <c r="H213" s="21" t="n">
        <f aca="false">IF(AND($L213="Yes",ISERROR(SEARCH("%",$F213))),$G213*'Cover &amp; Legend'!$C$12,0)</f>
        <v>210</v>
      </c>
      <c r="I213" s="21" t="n">
        <f aca="false">IF(ISERROR(SEARCH("%",$F213)),$G213+$H213,0)</f>
        <v>1610</v>
      </c>
      <c r="J213" s="21" t="n">
        <v>1400</v>
      </c>
      <c r="K213" s="9" t="s">
        <v>105</v>
      </c>
      <c r="L213" s="18" t="s">
        <v>95</v>
      </c>
      <c r="M213" s="24" t="s">
        <v>111</v>
      </c>
      <c r="N213" s="23" t="s">
        <v>735</v>
      </c>
    </row>
    <row r="214" customFormat="false" ht="30" hidden="false" customHeight="true" outlineLevel="0" collapsed="false">
      <c r="A214" s="18" t="s">
        <v>741</v>
      </c>
      <c r="B214" s="9" t="s">
        <v>54</v>
      </c>
      <c r="C214" s="9" t="s">
        <v>742</v>
      </c>
      <c r="D214" s="9" t="s">
        <v>743</v>
      </c>
      <c r="E214" s="9" t="s">
        <v>219</v>
      </c>
      <c r="F214" s="9" t="s">
        <v>646</v>
      </c>
      <c r="G214" s="20" t="n">
        <v>150</v>
      </c>
      <c r="H214" s="21" t="n">
        <f aca="false">IF(AND($L214="Yes",ISERROR(SEARCH("%",$F214))),$G214*'Cover &amp; Legend'!$C$12,0)</f>
        <v>22.5</v>
      </c>
      <c r="I214" s="21" t="n">
        <f aca="false">IF(ISERROR(SEARCH("%",$F214)),$G214+$H214,0)</f>
        <v>172.5</v>
      </c>
      <c r="J214" s="21" t="n">
        <v>600</v>
      </c>
      <c r="K214" s="9" t="s">
        <v>274</v>
      </c>
      <c r="L214" s="18" t="s">
        <v>95</v>
      </c>
      <c r="M214" s="24" t="s">
        <v>111</v>
      </c>
      <c r="N214" s="23" t="s">
        <v>744</v>
      </c>
    </row>
    <row r="215" customFormat="false" ht="30" hidden="false" customHeight="true" outlineLevel="0" collapsed="false">
      <c r="A215" s="18" t="s">
        <v>745</v>
      </c>
      <c r="B215" s="9" t="s">
        <v>54</v>
      </c>
      <c r="C215" s="9" t="s">
        <v>742</v>
      </c>
      <c r="D215" s="9" t="s">
        <v>746</v>
      </c>
      <c r="E215" s="9" t="s">
        <v>219</v>
      </c>
      <c r="F215" s="9" t="s">
        <v>105</v>
      </c>
      <c r="G215" s="20" t="n">
        <v>1050</v>
      </c>
      <c r="H215" s="21" t="n">
        <f aca="false">IF(AND($L215="Yes",ISERROR(SEARCH("%",$F215))),$G215*'Cover &amp; Legend'!$C$12,0)</f>
        <v>157.5</v>
      </c>
      <c r="I215" s="21" t="n">
        <f aca="false">IF(ISERROR(SEARCH("%",$F215)),$G215+$H215,0)</f>
        <v>1207.5</v>
      </c>
      <c r="J215" s="21" t="n">
        <v>1050</v>
      </c>
      <c r="K215" s="9" t="s">
        <v>105</v>
      </c>
      <c r="L215" s="18" t="s">
        <v>95</v>
      </c>
      <c r="M215" s="24" t="s">
        <v>111</v>
      </c>
      <c r="N215" s="23" t="s">
        <v>747</v>
      </c>
    </row>
    <row r="216" customFormat="false" ht="30" hidden="false" customHeight="true" outlineLevel="0" collapsed="false">
      <c r="A216" s="18" t="s">
        <v>748</v>
      </c>
      <c r="B216" s="9" t="s">
        <v>54</v>
      </c>
      <c r="C216" s="9" t="s">
        <v>742</v>
      </c>
      <c r="D216" s="9" t="s">
        <v>749</v>
      </c>
      <c r="E216" s="9" t="s">
        <v>219</v>
      </c>
      <c r="F216" s="9" t="s">
        <v>646</v>
      </c>
      <c r="G216" s="20" t="n">
        <v>250</v>
      </c>
      <c r="H216" s="21" t="n">
        <f aca="false">IF(AND($L216="Yes",ISERROR(SEARCH("%",$F216))),$G216*'Cover &amp; Legend'!$C$12,0)</f>
        <v>37.5</v>
      </c>
      <c r="I216" s="21" t="n">
        <f aca="false">IF(ISERROR(SEARCH("%",$F216)),$G216+$H216,0)</f>
        <v>287.5</v>
      </c>
      <c r="J216" s="21" t="n">
        <v>1000</v>
      </c>
      <c r="K216" s="9" t="s">
        <v>274</v>
      </c>
      <c r="L216" s="18" t="s">
        <v>95</v>
      </c>
      <c r="M216" s="22" t="s">
        <v>96</v>
      </c>
      <c r="N216" s="23" t="s">
        <v>750</v>
      </c>
    </row>
    <row r="217" customFormat="false" ht="30" hidden="false" customHeight="true" outlineLevel="0" collapsed="false">
      <c r="A217" s="18" t="s">
        <v>751</v>
      </c>
      <c r="B217" s="9" t="s">
        <v>54</v>
      </c>
      <c r="C217" s="9" t="s">
        <v>742</v>
      </c>
      <c r="D217" s="9" t="s">
        <v>752</v>
      </c>
      <c r="E217" s="9" t="s">
        <v>219</v>
      </c>
      <c r="F217" s="9" t="s">
        <v>105</v>
      </c>
      <c r="G217" s="20" t="n">
        <v>1750</v>
      </c>
      <c r="H217" s="21" t="n">
        <f aca="false">IF(AND($L217="Yes",ISERROR(SEARCH("%",$F217))),$G217*'Cover &amp; Legend'!$C$12,0)</f>
        <v>262.5</v>
      </c>
      <c r="I217" s="21" t="n">
        <f aca="false">IF(ISERROR(SEARCH("%",$F217)),$G217+$H217,0)</f>
        <v>2012.5</v>
      </c>
      <c r="J217" s="21" t="n">
        <v>1750</v>
      </c>
      <c r="K217" s="9" t="s">
        <v>105</v>
      </c>
      <c r="L217" s="18" t="s">
        <v>95</v>
      </c>
      <c r="M217" s="24" t="s">
        <v>111</v>
      </c>
      <c r="N217" s="23" t="s">
        <v>753</v>
      </c>
    </row>
    <row r="218" customFormat="false" ht="30" hidden="false" customHeight="true" outlineLevel="0" collapsed="false">
      <c r="A218" s="18" t="s">
        <v>754</v>
      </c>
      <c r="B218" s="9" t="s">
        <v>54</v>
      </c>
      <c r="C218" s="9" t="s">
        <v>755</v>
      </c>
      <c r="D218" s="9" t="s">
        <v>756</v>
      </c>
      <c r="E218" s="9" t="s">
        <v>219</v>
      </c>
      <c r="F218" s="9" t="s">
        <v>757</v>
      </c>
      <c r="G218" s="27" t="n">
        <v>0.3</v>
      </c>
      <c r="H218" s="21" t="n">
        <f aca="false">IF(AND($L218="Yes",ISERROR(SEARCH("%",$F218))),$G218*'Cover &amp; Legend'!$C$12,0)</f>
        <v>0</v>
      </c>
      <c r="I218" s="21" t="n">
        <f aca="false">IF(ISERROR(SEARCH("%",$F218)),$G218+$H218,0)</f>
        <v>0</v>
      </c>
      <c r="J218" s="21" t="n">
        <v>0</v>
      </c>
      <c r="K218" s="9" t="s">
        <v>274</v>
      </c>
      <c r="L218" s="18" t="s">
        <v>95</v>
      </c>
      <c r="M218" s="26" t="s">
        <v>185</v>
      </c>
      <c r="N218" s="23" t="s">
        <v>758</v>
      </c>
    </row>
    <row r="219" customFormat="false" ht="30" hidden="false" customHeight="true" outlineLevel="0" collapsed="false">
      <c r="A219" s="18" t="s">
        <v>759</v>
      </c>
      <c r="B219" s="9" t="s">
        <v>54</v>
      </c>
      <c r="C219" s="9" t="s">
        <v>755</v>
      </c>
      <c r="D219" s="9" t="s">
        <v>760</v>
      </c>
      <c r="E219" s="9" t="s">
        <v>219</v>
      </c>
      <c r="F219" s="9" t="s">
        <v>105</v>
      </c>
      <c r="G219" s="20" t="n">
        <v>250</v>
      </c>
      <c r="H219" s="21" t="n">
        <f aca="false">IF(AND($L219="Yes",ISERROR(SEARCH("%",$F219))),$G219*'Cover &amp; Legend'!$C$12,0)</f>
        <v>37.5</v>
      </c>
      <c r="I219" s="21" t="n">
        <f aca="false">IF(ISERROR(SEARCH("%",$F219)),$G219+$H219,0)</f>
        <v>287.5</v>
      </c>
      <c r="J219" s="21" t="n">
        <v>250</v>
      </c>
      <c r="K219" s="9" t="s">
        <v>105</v>
      </c>
      <c r="L219" s="18" t="s">
        <v>95</v>
      </c>
      <c r="M219" s="22" t="s">
        <v>96</v>
      </c>
      <c r="N219" s="23" t="s">
        <v>689</v>
      </c>
    </row>
    <row r="220" customFormat="false" ht="30" hidden="false" customHeight="true" outlineLevel="0" collapsed="false">
      <c r="A220" s="18" t="s">
        <v>761</v>
      </c>
      <c r="B220" s="9" t="s">
        <v>54</v>
      </c>
      <c r="C220" s="9" t="s">
        <v>755</v>
      </c>
      <c r="D220" s="9" t="s">
        <v>762</v>
      </c>
      <c r="E220" s="9" t="s">
        <v>219</v>
      </c>
      <c r="F220" s="9" t="s">
        <v>105</v>
      </c>
      <c r="G220" s="20" t="n">
        <v>350</v>
      </c>
      <c r="H220" s="21" t="n">
        <f aca="false">IF(AND($L220="Yes",ISERROR(SEARCH("%",$F220))),$G220*'Cover &amp; Legend'!$C$12,0)</f>
        <v>52.5</v>
      </c>
      <c r="I220" s="21" t="n">
        <f aca="false">IF(ISERROR(SEARCH("%",$F220)),$G220+$H220,0)</f>
        <v>402.5</v>
      </c>
      <c r="J220" s="21" t="n">
        <v>350</v>
      </c>
      <c r="K220" s="9" t="s">
        <v>105</v>
      </c>
      <c r="L220" s="18" t="s">
        <v>95</v>
      </c>
      <c r="M220" s="22" t="s">
        <v>96</v>
      </c>
      <c r="N220" s="23" t="s">
        <v>689</v>
      </c>
    </row>
    <row r="221" customFormat="false" ht="30" hidden="false" customHeight="true" outlineLevel="0" collapsed="false">
      <c r="A221" s="18" t="s">
        <v>763</v>
      </c>
      <c r="B221" s="9" t="s">
        <v>54</v>
      </c>
      <c r="C221" s="9" t="s">
        <v>755</v>
      </c>
      <c r="D221" s="9" t="s">
        <v>764</v>
      </c>
      <c r="E221" s="9" t="s">
        <v>219</v>
      </c>
      <c r="F221" s="9" t="s">
        <v>105</v>
      </c>
      <c r="G221" s="20" t="n">
        <v>500</v>
      </c>
      <c r="H221" s="21" t="n">
        <f aca="false">IF(AND($L221="Yes",ISERROR(SEARCH("%",$F221))),$G221*'Cover &amp; Legend'!$C$12,0)</f>
        <v>75</v>
      </c>
      <c r="I221" s="21" t="n">
        <f aca="false">IF(ISERROR(SEARCH("%",$F221)),$G221+$H221,0)</f>
        <v>575</v>
      </c>
      <c r="J221" s="21" t="n">
        <v>500</v>
      </c>
      <c r="K221" s="9" t="s">
        <v>105</v>
      </c>
      <c r="L221" s="18" t="s">
        <v>95</v>
      </c>
      <c r="M221" s="22" t="s">
        <v>96</v>
      </c>
      <c r="N221" s="23" t="s">
        <v>689</v>
      </c>
    </row>
    <row r="222" customFormat="false" ht="30" hidden="false" customHeight="true" outlineLevel="0" collapsed="false">
      <c r="A222" s="18" t="s">
        <v>765</v>
      </c>
      <c r="B222" s="9" t="s">
        <v>54</v>
      </c>
      <c r="C222" s="9" t="s">
        <v>755</v>
      </c>
      <c r="D222" s="9" t="s">
        <v>766</v>
      </c>
      <c r="E222" s="9" t="s">
        <v>219</v>
      </c>
      <c r="F222" s="9" t="s">
        <v>105</v>
      </c>
      <c r="G222" s="20" t="n">
        <v>1000</v>
      </c>
      <c r="H222" s="21" t="n">
        <f aca="false">IF(AND($L222="Yes",ISERROR(SEARCH("%",$F222))),$G222*'Cover &amp; Legend'!$C$12,0)</f>
        <v>150</v>
      </c>
      <c r="I222" s="21" t="n">
        <f aca="false">IF(ISERROR(SEARCH("%",$F222)),$G222+$H222,0)</f>
        <v>1150</v>
      </c>
      <c r="J222" s="21" t="n">
        <v>1000</v>
      </c>
      <c r="K222" s="9" t="s">
        <v>105</v>
      </c>
      <c r="L222" s="18" t="s">
        <v>95</v>
      </c>
      <c r="M222" s="22" t="s">
        <v>96</v>
      </c>
      <c r="N222" s="23" t="s">
        <v>689</v>
      </c>
    </row>
    <row r="223" customFormat="false" ht="30" hidden="false" customHeight="true" outlineLevel="0" collapsed="false">
      <c r="A223" s="18" t="s">
        <v>767</v>
      </c>
      <c r="B223" s="9" t="s">
        <v>54</v>
      </c>
      <c r="C223" s="9" t="s">
        <v>755</v>
      </c>
      <c r="D223" s="9" t="s">
        <v>768</v>
      </c>
      <c r="E223" s="9" t="s">
        <v>219</v>
      </c>
      <c r="F223" s="9" t="s">
        <v>769</v>
      </c>
      <c r="G223" s="25" t="n">
        <v>150</v>
      </c>
      <c r="H223" s="21" t="n">
        <f aca="false">IF(AND($L223="Yes",ISERROR(SEARCH("%",$F223))),$G223*'Cover &amp; Legend'!$C$12,0)</f>
        <v>22.5</v>
      </c>
      <c r="I223" s="21" t="n">
        <f aca="false">IF(ISERROR(SEARCH("%",$F223)),$G223+$H223,0)</f>
        <v>172.5</v>
      </c>
      <c r="J223" s="21" t="n">
        <v>150</v>
      </c>
      <c r="K223" s="9" t="s">
        <v>105</v>
      </c>
      <c r="L223" s="18" t="s">
        <v>95</v>
      </c>
      <c r="M223" s="26" t="s">
        <v>185</v>
      </c>
      <c r="N223" s="23" t="s">
        <v>770</v>
      </c>
    </row>
    <row r="224" customFormat="false" ht="30" hidden="false" customHeight="true" outlineLevel="0" collapsed="false">
      <c r="A224" s="18" t="s">
        <v>771</v>
      </c>
      <c r="B224" s="9" t="s">
        <v>54</v>
      </c>
      <c r="C224" s="9" t="s">
        <v>755</v>
      </c>
      <c r="D224" s="9" t="s">
        <v>772</v>
      </c>
      <c r="E224" s="9" t="s">
        <v>158</v>
      </c>
      <c r="F224" s="9" t="s">
        <v>769</v>
      </c>
      <c r="G224" s="25" t="n">
        <v>200</v>
      </c>
      <c r="H224" s="21" t="n">
        <f aca="false">IF(AND($L224="Yes",ISERROR(SEARCH("%",$F224))),$G224*'Cover &amp; Legend'!$C$12,0)</f>
        <v>30</v>
      </c>
      <c r="I224" s="21" t="n">
        <f aca="false">IF(ISERROR(SEARCH("%",$F224)),$G224+$H224,0)</f>
        <v>230</v>
      </c>
      <c r="J224" s="21" t="n">
        <v>200</v>
      </c>
      <c r="K224" s="9" t="s">
        <v>105</v>
      </c>
      <c r="L224" s="18" t="s">
        <v>95</v>
      </c>
      <c r="M224" s="26" t="s">
        <v>185</v>
      </c>
      <c r="N224" s="23" t="s">
        <v>773</v>
      </c>
    </row>
    <row r="225" customFormat="false" ht="30" hidden="false" customHeight="true" outlineLevel="0" collapsed="false">
      <c r="A225" s="18" t="s">
        <v>774</v>
      </c>
      <c r="B225" s="19" t="s">
        <v>56</v>
      </c>
      <c r="C225" s="9" t="s">
        <v>775</v>
      </c>
      <c r="D225" s="9" t="s">
        <v>776</v>
      </c>
      <c r="E225" s="9" t="s">
        <v>219</v>
      </c>
      <c r="F225" s="9" t="s">
        <v>777</v>
      </c>
      <c r="G225" s="20" t="n">
        <v>5</v>
      </c>
      <c r="H225" s="21" t="n">
        <f aca="false">IF(AND($L225="Yes",ISERROR(SEARCH("%",$F225))),$G225*'Cover &amp; Legend'!$C$12,0)</f>
        <v>0.75</v>
      </c>
      <c r="I225" s="21" t="n">
        <f aca="false">IF(ISERROR(SEARCH("%",$F225)),$G225+$H225,0)</f>
        <v>5.75</v>
      </c>
      <c r="J225" s="21" t="n">
        <v>500</v>
      </c>
      <c r="K225" s="9" t="s">
        <v>94</v>
      </c>
      <c r="L225" s="18" t="s">
        <v>95</v>
      </c>
      <c r="M225" s="22" t="s">
        <v>96</v>
      </c>
      <c r="N225" s="23" t="s">
        <v>778</v>
      </c>
    </row>
    <row r="226" customFormat="false" ht="30" hidden="false" customHeight="true" outlineLevel="0" collapsed="false">
      <c r="A226" s="18" t="s">
        <v>779</v>
      </c>
      <c r="B226" s="9" t="s">
        <v>56</v>
      </c>
      <c r="C226" s="9" t="s">
        <v>775</v>
      </c>
      <c r="D226" s="9" t="s">
        <v>780</v>
      </c>
      <c r="E226" s="9" t="s">
        <v>219</v>
      </c>
      <c r="F226" s="9" t="s">
        <v>273</v>
      </c>
      <c r="G226" s="20" t="n">
        <v>5</v>
      </c>
      <c r="H226" s="21" t="n">
        <f aca="false">IF(AND($L226="Yes",ISERROR(SEARCH("%",$F226))),$G226*'Cover &amp; Legend'!$C$12,0)</f>
        <v>0.75</v>
      </c>
      <c r="I226" s="21" t="n">
        <f aca="false">IF(ISERROR(SEARCH("%",$F226)),$G226+$H226,0)</f>
        <v>5.75</v>
      </c>
      <c r="J226" s="21" t="n">
        <v>250</v>
      </c>
      <c r="K226" s="9" t="s">
        <v>274</v>
      </c>
      <c r="L226" s="18" t="s">
        <v>95</v>
      </c>
      <c r="M226" s="24" t="s">
        <v>111</v>
      </c>
      <c r="N226" s="23" t="s">
        <v>781</v>
      </c>
    </row>
    <row r="227" customFormat="false" ht="30" hidden="false" customHeight="true" outlineLevel="0" collapsed="false">
      <c r="A227" s="18" t="s">
        <v>782</v>
      </c>
      <c r="B227" s="9" t="s">
        <v>56</v>
      </c>
      <c r="C227" s="9" t="s">
        <v>775</v>
      </c>
      <c r="D227" s="9" t="s">
        <v>783</v>
      </c>
      <c r="E227" s="9" t="s">
        <v>219</v>
      </c>
      <c r="F227" s="9" t="s">
        <v>273</v>
      </c>
      <c r="G227" s="25" t="n">
        <v>12</v>
      </c>
      <c r="H227" s="21" t="n">
        <f aca="false">IF(AND($L227="Yes",ISERROR(SEARCH("%",$F227))),$G227*'Cover &amp; Legend'!$C$12,0)</f>
        <v>1.8</v>
      </c>
      <c r="I227" s="21" t="n">
        <f aca="false">IF(ISERROR(SEARCH("%",$F227)),$G227+$H227,0)</f>
        <v>13.8</v>
      </c>
      <c r="J227" s="21" t="n">
        <v>1500</v>
      </c>
      <c r="K227" s="9" t="s">
        <v>274</v>
      </c>
      <c r="L227" s="18" t="s">
        <v>95</v>
      </c>
      <c r="M227" s="26" t="s">
        <v>185</v>
      </c>
      <c r="N227" s="23" t="s">
        <v>784</v>
      </c>
    </row>
    <row r="228" customFormat="false" ht="30" hidden="false" customHeight="true" outlineLevel="0" collapsed="false">
      <c r="A228" s="18" t="s">
        <v>785</v>
      </c>
      <c r="B228" s="9" t="s">
        <v>56</v>
      </c>
      <c r="C228" s="9" t="s">
        <v>775</v>
      </c>
      <c r="D228" s="9" t="s">
        <v>786</v>
      </c>
      <c r="E228" s="9" t="s">
        <v>219</v>
      </c>
      <c r="F228" s="9" t="s">
        <v>314</v>
      </c>
      <c r="G228" s="25" t="n">
        <v>0.5</v>
      </c>
      <c r="H228" s="21" t="n">
        <f aca="false">IF(AND($L228="Yes",ISERROR(SEARCH("%",$F228))),$G228*'Cover &amp; Legend'!$C$12,0)</f>
        <v>0.075</v>
      </c>
      <c r="I228" s="21" t="n">
        <f aca="false">IF(ISERROR(SEARCH("%",$F228)),$G228+$H228,0)</f>
        <v>0.575</v>
      </c>
      <c r="J228" s="21" t="n">
        <v>500</v>
      </c>
      <c r="K228" s="9" t="s">
        <v>274</v>
      </c>
      <c r="L228" s="18" t="s">
        <v>95</v>
      </c>
      <c r="M228" s="26" t="s">
        <v>185</v>
      </c>
      <c r="N228" s="23" t="s">
        <v>421</v>
      </c>
    </row>
    <row r="229" customFormat="false" ht="30" hidden="false" customHeight="true" outlineLevel="0" collapsed="false">
      <c r="A229" s="18" t="s">
        <v>787</v>
      </c>
      <c r="B229" s="9" t="s">
        <v>56</v>
      </c>
      <c r="C229" s="9" t="s">
        <v>775</v>
      </c>
      <c r="D229" s="9" t="s">
        <v>788</v>
      </c>
      <c r="E229" s="9" t="s">
        <v>219</v>
      </c>
      <c r="F229" s="9" t="s">
        <v>362</v>
      </c>
      <c r="G229" s="25" t="n">
        <v>250</v>
      </c>
      <c r="H229" s="21" t="n">
        <f aca="false">IF(AND($L229="Yes",ISERROR(SEARCH("%",$F229))),$G229*'Cover &amp; Legend'!$C$12,0)</f>
        <v>37.5</v>
      </c>
      <c r="I229" s="21" t="n">
        <f aca="false">IF(ISERROR(SEARCH("%",$F229)),$G229+$H229,0)</f>
        <v>287.5</v>
      </c>
      <c r="J229" s="21" t="n">
        <v>250</v>
      </c>
      <c r="K229" s="9" t="s">
        <v>274</v>
      </c>
      <c r="L229" s="18" t="s">
        <v>95</v>
      </c>
      <c r="M229" s="26" t="s">
        <v>185</v>
      </c>
      <c r="N229" s="23" t="s">
        <v>421</v>
      </c>
    </row>
    <row r="230" customFormat="false" ht="30" hidden="false" customHeight="true" outlineLevel="0" collapsed="false">
      <c r="A230" s="18" t="s">
        <v>789</v>
      </c>
      <c r="B230" s="9" t="s">
        <v>56</v>
      </c>
      <c r="C230" s="9" t="s">
        <v>775</v>
      </c>
      <c r="D230" s="9" t="s">
        <v>790</v>
      </c>
      <c r="E230" s="9" t="s">
        <v>219</v>
      </c>
      <c r="F230" s="9" t="s">
        <v>791</v>
      </c>
      <c r="G230" s="25" t="n">
        <v>10</v>
      </c>
      <c r="H230" s="21" t="n">
        <f aca="false">IF(AND($L230="Yes",ISERROR(SEARCH("%",$F230))),$G230*'Cover &amp; Legend'!$C$12,0)</f>
        <v>1.5</v>
      </c>
      <c r="I230" s="21" t="n">
        <f aca="false">IF(ISERROR(SEARCH("%",$F230)),$G230+$H230,0)</f>
        <v>11.5</v>
      </c>
      <c r="J230" s="21" t="n">
        <v>250</v>
      </c>
      <c r="K230" s="9" t="s">
        <v>792</v>
      </c>
      <c r="L230" s="18" t="s">
        <v>95</v>
      </c>
      <c r="M230" s="26" t="s">
        <v>185</v>
      </c>
      <c r="N230" s="23" t="s">
        <v>793</v>
      </c>
    </row>
    <row r="231" customFormat="false" ht="30" hidden="false" customHeight="true" outlineLevel="0" collapsed="false">
      <c r="A231" s="18" t="s">
        <v>794</v>
      </c>
      <c r="B231" s="9" t="s">
        <v>56</v>
      </c>
      <c r="C231" s="9" t="s">
        <v>775</v>
      </c>
      <c r="D231" s="9" t="s">
        <v>795</v>
      </c>
      <c r="E231" s="9" t="s">
        <v>219</v>
      </c>
      <c r="F231" s="9" t="s">
        <v>791</v>
      </c>
      <c r="G231" s="25" t="n">
        <v>5</v>
      </c>
      <c r="H231" s="21" t="n">
        <f aca="false">IF(AND($L231="Yes",ISERROR(SEARCH("%",$F231))),$G231*'Cover &amp; Legend'!$C$12,0)</f>
        <v>0.75</v>
      </c>
      <c r="I231" s="21" t="n">
        <f aca="false">IF(ISERROR(SEARCH("%",$F231)),$G231+$H231,0)</f>
        <v>5.75</v>
      </c>
      <c r="J231" s="21" t="n">
        <v>100</v>
      </c>
      <c r="K231" s="9" t="s">
        <v>274</v>
      </c>
      <c r="L231" s="18" t="s">
        <v>95</v>
      </c>
      <c r="M231" s="26" t="s">
        <v>185</v>
      </c>
      <c r="N231" s="23" t="s">
        <v>421</v>
      </c>
    </row>
    <row r="232" customFormat="false" ht="30" hidden="false" customHeight="true" outlineLevel="0" collapsed="false">
      <c r="A232" s="18" t="s">
        <v>796</v>
      </c>
      <c r="B232" s="9" t="s">
        <v>56</v>
      </c>
      <c r="C232" s="9" t="s">
        <v>775</v>
      </c>
      <c r="D232" s="9" t="s">
        <v>797</v>
      </c>
      <c r="E232" s="9" t="s">
        <v>341</v>
      </c>
      <c r="F232" s="9" t="s">
        <v>798</v>
      </c>
      <c r="G232" s="25" t="n">
        <v>3</v>
      </c>
      <c r="H232" s="21" t="n">
        <f aca="false">IF(AND($L232="Yes",ISERROR(SEARCH("%",$F232))),$G232*'Cover &amp; Legend'!$C$12,0)</f>
        <v>0.45</v>
      </c>
      <c r="I232" s="21" t="n">
        <f aca="false">IF(ISERROR(SEARCH("%",$F232)),$G232+$H232,0)</f>
        <v>3.45</v>
      </c>
      <c r="J232" s="21" t="n">
        <v>300</v>
      </c>
      <c r="K232" s="9" t="s">
        <v>94</v>
      </c>
      <c r="L232" s="18" t="s">
        <v>95</v>
      </c>
      <c r="M232" s="26" t="s">
        <v>185</v>
      </c>
      <c r="N232" s="23" t="s">
        <v>799</v>
      </c>
    </row>
    <row r="233" customFormat="false" ht="30" hidden="false" customHeight="true" outlineLevel="0" collapsed="false">
      <c r="A233" s="18" t="s">
        <v>800</v>
      </c>
      <c r="B233" s="9" t="s">
        <v>56</v>
      </c>
      <c r="C233" s="9" t="s">
        <v>775</v>
      </c>
      <c r="D233" s="9" t="s">
        <v>801</v>
      </c>
      <c r="E233" s="9" t="s">
        <v>219</v>
      </c>
      <c r="F233" s="9" t="s">
        <v>362</v>
      </c>
      <c r="G233" s="25" t="n">
        <v>150</v>
      </c>
      <c r="H233" s="21" t="n">
        <f aca="false">IF(AND($L233="Yes",ISERROR(SEARCH("%",$F233))),$G233*'Cover &amp; Legend'!$C$12,0)</f>
        <v>22.5</v>
      </c>
      <c r="I233" s="21" t="n">
        <f aca="false">IF(ISERROR(SEARCH("%",$F233)),$G233+$H233,0)</f>
        <v>172.5</v>
      </c>
      <c r="J233" s="21" t="n">
        <v>150</v>
      </c>
      <c r="K233" s="9" t="s">
        <v>274</v>
      </c>
      <c r="L233" s="18" t="s">
        <v>95</v>
      </c>
      <c r="M233" s="26" t="s">
        <v>185</v>
      </c>
      <c r="N233" s="23" t="s">
        <v>421</v>
      </c>
    </row>
    <row r="234" customFormat="false" ht="30" hidden="false" customHeight="true" outlineLevel="0" collapsed="false">
      <c r="A234" s="18" t="s">
        <v>802</v>
      </c>
      <c r="B234" s="9" t="s">
        <v>56</v>
      </c>
      <c r="C234" s="9" t="s">
        <v>775</v>
      </c>
      <c r="D234" s="9" t="s">
        <v>803</v>
      </c>
      <c r="E234" s="9" t="s">
        <v>219</v>
      </c>
      <c r="F234" s="9" t="s">
        <v>362</v>
      </c>
      <c r="G234" s="25" t="n">
        <v>200</v>
      </c>
      <c r="H234" s="21" t="n">
        <f aca="false">IF(AND($L234="Yes",ISERROR(SEARCH("%",$F234))),$G234*'Cover &amp; Legend'!$C$12,0)</f>
        <v>30</v>
      </c>
      <c r="I234" s="21" t="n">
        <f aca="false">IF(ISERROR(SEARCH("%",$F234)),$G234+$H234,0)</f>
        <v>230</v>
      </c>
      <c r="J234" s="21" t="n">
        <v>200</v>
      </c>
      <c r="K234" s="9" t="s">
        <v>274</v>
      </c>
      <c r="L234" s="18" t="s">
        <v>95</v>
      </c>
      <c r="M234" s="26" t="s">
        <v>185</v>
      </c>
      <c r="N234" s="23" t="s">
        <v>421</v>
      </c>
    </row>
    <row r="235" customFormat="false" ht="30" hidden="false" customHeight="true" outlineLevel="0" collapsed="false">
      <c r="A235" s="18" t="s">
        <v>804</v>
      </c>
      <c r="B235" s="19" t="s">
        <v>58</v>
      </c>
      <c r="C235" s="9" t="s">
        <v>805</v>
      </c>
      <c r="D235" s="9" t="s">
        <v>806</v>
      </c>
      <c r="E235" s="9" t="s">
        <v>219</v>
      </c>
      <c r="F235" s="9" t="s">
        <v>807</v>
      </c>
      <c r="G235" s="25" t="n">
        <v>15</v>
      </c>
      <c r="H235" s="21" t="n">
        <f aca="false">IF(AND($L235="Yes",ISERROR(SEARCH("%",$F235))),$G235*'Cover &amp; Legend'!$C$12,0)</f>
        <v>2.25</v>
      </c>
      <c r="I235" s="21" t="n">
        <f aca="false">IF(ISERROR(SEARCH("%",$F235)),$G235+$H235,0)</f>
        <v>17.25</v>
      </c>
      <c r="J235" s="21" t="n">
        <v>15</v>
      </c>
      <c r="K235" s="9" t="s">
        <v>274</v>
      </c>
      <c r="L235" s="18" t="s">
        <v>95</v>
      </c>
      <c r="M235" s="26" t="s">
        <v>185</v>
      </c>
      <c r="N235" s="23" t="s">
        <v>421</v>
      </c>
    </row>
    <row r="236" customFormat="false" ht="30" hidden="false" customHeight="true" outlineLevel="0" collapsed="false">
      <c r="A236" s="18" t="s">
        <v>808</v>
      </c>
      <c r="B236" s="9" t="s">
        <v>58</v>
      </c>
      <c r="C236" s="9" t="s">
        <v>805</v>
      </c>
      <c r="D236" s="9" t="s">
        <v>809</v>
      </c>
      <c r="E236" s="9" t="s">
        <v>219</v>
      </c>
      <c r="F236" s="9" t="s">
        <v>642</v>
      </c>
      <c r="G236" s="25" t="n">
        <v>0</v>
      </c>
      <c r="H236" s="21" t="n">
        <f aca="false">IF(AND($L236="Yes",ISERROR(SEARCH("%",$F236))),$G236*'Cover &amp; Legend'!$C$12,0)</f>
        <v>0</v>
      </c>
      <c r="I236" s="21" t="n">
        <f aca="false">IF(ISERROR(SEARCH("%",$F236)),$G236+$H236,0)</f>
        <v>0</v>
      </c>
      <c r="J236" s="21" t="n">
        <v>0</v>
      </c>
      <c r="K236" s="9" t="s">
        <v>94</v>
      </c>
      <c r="L236" s="18" t="s">
        <v>810</v>
      </c>
      <c r="M236" s="26" t="s">
        <v>185</v>
      </c>
      <c r="N236" s="23" t="s">
        <v>811</v>
      </c>
    </row>
    <row r="237" customFormat="false" ht="30" hidden="false" customHeight="true" outlineLevel="0" collapsed="false">
      <c r="A237" s="18" t="s">
        <v>812</v>
      </c>
      <c r="B237" s="9" t="s">
        <v>58</v>
      </c>
      <c r="C237" s="9" t="s">
        <v>805</v>
      </c>
      <c r="D237" s="9" t="s">
        <v>813</v>
      </c>
      <c r="E237" s="9" t="s">
        <v>219</v>
      </c>
      <c r="F237" s="9" t="s">
        <v>362</v>
      </c>
      <c r="G237" s="25" t="n">
        <v>200</v>
      </c>
      <c r="H237" s="21" t="n">
        <f aca="false">IF(AND($L237="Yes",ISERROR(SEARCH("%",$F237))),$G237*'Cover &amp; Legend'!$C$12,0)</f>
        <v>30</v>
      </c>
      <c r="I237" s="21" t="n">
        <f aca="false">IF(ISERROR(SEARCH("%",$F237)),$G237+$H237,0)</f>
        <v>230</v>
      </c>
      <c r="J237" s="21" t="n">
        <v>200</v>
      </c>
      <c r="K237" s="9" t="s">
        <v>274</v>
      </c>
      <c r="L237" s="18" t="s">
        <v>95</v>
      </c>
      <c r="M237" s="26" t="s">
        <v>185</v>
      </c>
      <c r="N237" s="23" t="s">
        <v>421</v>
      </c>
    </row>
    <row r="238" customFormat="false" ht="30" hidden="false" customHeight="true" outlineLevel="0" collapsed="false">
      <c r="A238" s="18" t="s">
        <v>814</v>
      </c>
      <c r="B238" s="9" t="s">
        <v>58</v>
      </c>
      <c r="C238" s="9" t="s">
        <v>805</v>
      </c>
      <c r="D238" s="9" t="s">
        <v>815</v>
      </c>
      <c r="E238" s="9" t="s">
        <v>219</v>
      </c>
      <c r="F238" s="9" t="s">
        <v>807</v>
      </c>
      <c r="G238" s="25" t="n">
        <v>50</v>
      </c>
      <c r="H238" s="21" t="n">
        <f aca="false">IF(AND($L238="Yes",ISERROR(SEARCH("%",$F238))),$G238*'Cover &amp; Legend'!$C$12,0)</f>
        <v>7.5</v>
      </c>
      <c r="I238" s="21" t="n">
        <f aca="false">IF(ISERROR(SEARCH("%",$F238)),$G238+$H238,0)</f>
        <v>57.5</v>
      </c>
      <c r="J238" s="21" t="n">
        <v>50</v>
      </c>
      <c r="K238" s="9" t="s">
        <v>274</v>
      </c>
      <c r="L238" s="18" t="s">
        <v>95</v>
      </c>
      <c r="M238" s="26" t="s">
        <v>185</v>
      </c>
      <c r="N238" s="23" t="s">
        <v>421</v>
      </c>
    </row>
    <row r="239" customFormat="false" ht="30" hidden="false" customHeight="true" outlineLevel="0" collapsed="false">
      <c r="A239" s="18" t="s">
        <v>816</v>
      </c>
      <c r="B239" s="9" t="s">
        <v>58</v>
      </c>
      <c r="C239" s="9" t="s">
        <v>805</v>
      </c>
      <c r="D239" s="9" t="s">
        <v>817</v>
      </c>
      <c r="E239" s="9" t="s">
        <v>219</v>
      </c>
      <c r="F239" s="9" t="s">
        <v>818</v>
      </c>
      <c r="G239" s="25" t="n">
        <v>150</v>
      </c>
      <c r="H239" s="21" t="n">
        <f aca="false">IF(AND($L239="Yes",ISERROR(SEARCH("%",$F239))),$G239*'Cover &amp; Legend'!$C$12,0)</f>
        <v>22.5</v>
      </c>
      <c r="I239" s="21" t="n">
        <f aca="false">IF(ISERROR(SEARCH("%",$F239)),$G239+$H239,0)</f>
        <v>172.5</v>
      </c>
      <c r="J239" s="21" t="n">
        <v>150</v>
      </c>
      <c r="K239" s="9" t="s">
        <v>274</v>
      </c>
      <c r="L239" s="18" t="s">
        <v>95</v>
      </c>
      <c r="M239" s="26" t="s">
        <v>185</v>
      </c>
      <c r="N239" s="23" t="s">
        <v>819</v>
      </c>
    </row>
    <row r="240" customFormat="false" ht="30" hidden="false" customHeight="true" outlineLevel="0" collapsed="false">
      <c r="A240" s="18" t="s">
        <v>820</v>
      </c>
      <c r="B240" s="9" t="s">
        <v>58</v>
      </c>
      <c r="C240" s="9" t="s">
        <v>805</v>
      </c>
      <c r="D240" s="9" t="s">
        <v>821</v>
      </c>
      <c r="E240" s="9" t="s">
        <v>822</v>
      </c>
      <c r="F240" s="9" t="s">
        <v>823</v>
      </c>
      <c r="G240" s="25" t="n">
        <v>400</v>
      </c>
      <c r="H240" s="21" t="n">
        <f aca="false">IF(AND($L240="Yes",ISERROR(SEARCH("%",$F240))),$G240*'Cover &amp; Legend'!$C$12,0)</f>
        <v>60</v>
      </c>
      <c r="I240" s="21" t="n">
        <f aca="false">IF(ISERROR(SEARCH("%",$F240)),$G240+$H240,0)</f>
        <v>460</v>
      </c>
      <c r="J240" s="21" t="n">
        <v>400</v>
      </c>
      <c r="K240" s="9" t="s">
        <v>274</v>
      </c>
      <c r="L240" s="18" t="s">
        <v>95</v>
      </c>
      <c r="M240" s="26" t="s">
        <v>185</v>
      </c>
      <c r="N240" s="23" t="s">
        <v>421</v>
      </c>
    </row>
    <row r="241" customFormat="false" ht="30" hidden="false" customHeight="true" outlineLevel="0" collapsed="false">
      <c r="A241" s="18" t="s">
        <v>824</v>
      </c>
      <c r="B241" s="9" t="s">
        <v>58</v>
      </c>
      <c r="C241" s="9" t="s">
        <v>805</v>
      </c>
      <c r="D241" s="9" t="s">
        <v>825</v>
      </c>
      <c r="E241" s="9" t="s">
        <v>219</v>
      </c>
      <c r="F241" s="9" t="s">
        <v>826</v>
      </c>
      <c r="G241" s="25" t="n">
        <v>300</v>
      </c>
      <c r="H241" s="21" t="n">
        <f aca="false">IF(AND($L241="Yes",ISERROR(SEARCH("%",$F241))),$G241*'Cover &amp; Legend'!$C$12,0)</f>
        <v>45</v>
      </c>
      <c r="I241" s="21" t="n">
        <f aca="false">IF(ISERROR(SEARCH("%",$F241)),$G241+$H241,0)</f>
        <v>345</v>
      </c>
      <c r="J241" s="21" t="n">
        <v>300</v>
      </c>
      <c r="K241" s="9" t="s">
        <v>274</v>
      </c>
      <c r="L241" s="18" t="s">
        <v>95</v>
      </c>
      <c r="M241" s="26" t="s">
        <v>185</v>
      </c>
      <c r="N241" s="23" t="s">
        <v>827</v>
      </c>
    </row>
    <row r="242" customFormat="false" ht="30" hidden="false" customHeight="true" outlineLevel="0" collapsed="false">
      <c r="A242" s="18" t="s">
        <v>828</v>
      </c>
      <c r="B242" s="9" t="s">
        <v>58</v>
      </c>
      <c r="C242" s="9" t="s">
        <v>805</v>
      </c>
      <c r="D242" s="9" t="s">
        <v>829</v>
      </c>
      <c r="E242" s="9" t="s">
        <v>219</v>
      </c>
      <c r="F242" s="9" t="s">
        <v>830</v>
      </c>
      <c r="G242" s="25" t="n">
        <v>1500</v>
      </c>
      <c r="H242" s="21" t="n">
        <f aca="false">IF(AND($L242="Yes",ISERROR(SEARCH("%",$F242))),$G242*'Cover &amp; Legend'!$C$12,0)</f>
        <v>225</v>
      </c>
      <c r="I242" s="21" t="n">
        <f aca="false">IF(ISERROR(SEARCH("%",$F242)),$G242+$H242,0)</f>
        <v>1725</v>
      </c>
      <c r="J242" s="21" t="n">
        <v>1500</v>
      </c>
      <c r="K242" s="9" t="s">
        <v>105</v>
      </c>
      <c r="L242" s="18" t="s">
        <v>95</v>
      </c>
      <c r="M242" s="26" t="s">
        <v>185</v>
      </c>
      <c r="N242" s="23" t="s">
        <v>831</v>
      </c>
    </row>
    <row r="243" customFormat="false" ht="30" hidden="false" customHeight="true" outlineLevel="0" collapsed="false">
      <c r="A243" s="18" t="s">
        <v>832</v>
      </c>
      <c r="B243" s="9" t="s">
        <v>58</v>
      </c>
      <c r="C243" s="9" t="s">
        <v>805</v>
      </c>
      <c r="D243" s="9" t="s">
        <v>833</v>
      </c>
      <c r="E243" s="9" t="s">
        <v>219</v>
      </c>
      <c r="F243" s="9" t="s">
        <v>834</v>
      </c>
      <c r="G243" s="25" t="n">
        <v>200</v>
      </c>
      <c r="H243" s="21" t="n">
        <f aca="false">IF(AND($L243="Yes",ISERROR(SEARCH("%",$F243))),$G243*'Cover &amp; Legend'!$C$12,0)</f>
        <v>30</v>
      </c>
      <c r="I243" s="21" t="n">
        <f aca="false">IF(ISERROR(SEARCH("%",$F243)),$G243+$H243,0)</f>
        <v>230</v>
      </c>
      <c r="J243" s="21" t="n">
        <v>200</v>
      </c>
      <c r="K243" s="9" t="s">
        <v>274</v>
      </c>
      <c r="L243" s="18" t="s">
        <v>95</v>
      </c>
      <c r="M243" s="26" t="s">
        <v>185</v>
      </c>
      <c r="N243" s="23" t="s">
        <v>421</v>
      </c>
    </row>
    <row r="244" customFormat="false" ht="30" hidden="false" customHeight="true" outlineLevel="0" collapsed="false">
      <c r="A244" s="18" t="s">
        <v>835</v>
      </c>
      <c r="B244" s="19" t="s">
        <v>60</v>
      </c>
      <c r="C244" s="9" t="s">
        <v>836</v>
      </c>
      <c r="D244" s="9" t="s">
        <v>837</v>
      </c>
      <c r="E244" s="9" t="s">
        <v>838</v>
      </c>
      <c r="F244" s="9" t="s">
        <v>839</v>
      </c>
      <c r="G244" s="25" t="n">
        <v>12000</v>
      </c>
      <c r="H244" s="21" t="n">
        <f aca="false">IF(AND($L244="Yes",ISERROR(SEARCH("%",$F244))),$G244*'Cover &amp; Legend'!$C$12,0)</f>
        <v>1800</v>
      </c>
      <c r="I244" s="21" t="n">
        <f aca="false">IF(ISERROR(SEARCH("%",$F244)),$G244+$H244,0)</f>
        <v>13800</v>
      </c>
      <c r="J244" s="21" t="n">
        <v>12000</v>
      </c>
      <c r="K244" s="9" t="s">
        <v>840</v>
      </c>
      <c r="L244" s="18" t="s">
        <v>95</v>
      </c>
      <c r="M244" s="26" t="s">
        <v>185</v>
      </c>
      <c r="N244" s="23" t="s">
        <v>841</v>
      </c>
    </row>
    <row r="245" customFormat="false" ht="30" hidden="false" customHeight="true" outlineLevel="0" collapsed="false">
      <c r="A245" s="18" t="s">
        <v>842</v>
      </c>
      <c r="B245" s="9" t="s">
        <v>60</v>
      </c>
      <c r="C245" s="9" t="s">
        <v>836</v>
      </c>
      <c r="D245" s="9" t="s">
        <v>843</v>
      </c>
      <c r="E245" s="9" t="s">
        <v>844</v>
      </c>
      <c r="F245" s="9" t="s">
        <v>845</v>
      </c>
      <c r="G245" s="25" t="n">
        <v>750</v>
      </c>
      <c r="H245" s="21" t="n">
        <f aca="false">IF(AND($L245="Yes",ISERROR(SEARCH("%",$F245))),$G245*'Cover &amp; Legend'!$C$12,0)</f>
        <v>112.5</v>
      </c>
      <c r="I245" s="21" t="n">
        <f aca="false">IF(ISERROR(SEARCH("%",$F245)),$G245+$H245,0)</f>
        <v>862.5</v>
      </c>
      <c r="J245" s="21" t="n">
        <v>750</v>
      </c>
      <c r="K245" s="9" t="s">
        <v>274</v>
      </c>
      <c r="L245" s="18" t="s">
        <v>95</v>
      </c>
      <c r="M245" s="26" t="s">
        <v>185</v>
      </c>
      <c r="N245" s="23" t="s">
        <v>421</v>
      </c>
    </row>
    <row r="246" customFormat="false" ht="30" hidden="false" customHeight="true" outlineLevel="0" collapsed="false">
      <c r="A246" s="18" t="s">
        <v>846</v>
      </c>
      <c r="B246" s="9" t="s">
        <v>60</v>
      </c>
      <c r="C246" s="9" t="s">
        <v>836</v>
      </c>
      <c r="D246" s="9" t="s">
        <v>847</v>
      </c>
      <c r="E246" s="9" t="s">
        <v>844</v>
      </c>
      <c r="F246" s="9" t="s">
        <v>350</v>
      </c>
      <c r="G246" s="25" t="n">
        <v>350</v>
      </c>
      <c r="H246" s="21" t="n">
        <f aca="false">IF(AND($L246="Yes",ISERROR(SEARCH("%",$F246))),$G246*'Cover &amp; Legend'!$C$12,0)</f>
        <v>52.5</v>
      </c>
      <c r="I246" s="21" t="n">
        <f aca="false">IF(ISERROR(SEARCH("%",$F246)),$G246+$H246,0)</f>
        <v>402.5</v>
      </c>
      <c r="J246" s="21" t="n">
        <v>350</v>
      </c>
      <c r="K246" s="9" t="s">
        <v>274</v>
      </c>
      <c r="L246" s="18" t="s">
        <v>95</v>
      </c>
      <c r="M246" s="26" t="s">
        <v>185</v>
      </c>
      <c r="N246" s="23" t="s">
        <v>421</v>
      </c>
    </row>
    <row r="247" customFormat="false" ht="30" hidden="false" customHeight="true" outlineLevel="0" collapsed="false">
      <c r="A247" s="18" t="s">
        <v>848</v>
      </c>
      <c r="B247" s="9" t="s">
        <v>60</v>
      </c>
      <c r="C247" s="9" t="s">
        <v>836</v>
      </c>
      <c r="D247" s="9" t="s">
        <v>849</v>
      </c>
      <c r="E247" s="9" t="s">
        <v>219</v>
      </c>
      <c r="F247" s="9" t="s">
        <v>845</v>
      </c>
      <c r="G247" s="25" t="n">
        <v>500</v>
      </c>
      <c r="H247" s="21" t="n">
        <f aca="false">IF(AND($L247="Yes",ISERROR(SEARCH("%",$F247))),$G247*'Cover &amp; Legend'!$C$12,0)</f>
        <v>75</v>
      </c>
      <c r="I247" s="21" t="n">
        <f aca="false">IF(ISERROR(SEARCH("%",$F247)),$G247+$H247,0)</f>
        <v>575</v>
      </c>
      <c r="J247" s="21" t="n">
        <v>500</v>
      </c>
      <c r="K247" s="9" t="s">
        <v>274</v>
      </c>
      <c r="L247" s="18" t="s">
        <v>95</v>
      </c>
      <c r="M247" s="26" t="s">
        <v>185</v>
      </c>
      <c r="N247" s="23" t="s">
        <v>421</v>
      </c>
    </row>
    <row r="248" customFormat="false" ht="30" hidden="false" customHeight="true" outlineLevel="0" collapsed="false">
      <c r="A248" s="18" t="s">
        <v>850</v>
      </c>
      <c r="B248" s="9" t="s">
        <v>60</v>
      </c>
      <c r="C248" s="9" t="s">
        <v>836</v>
      </c>
      <c r="D248" s="9" t="s">
        <v>851</v>
      </c>
      <c r="E248" s="9" t="s">
        <v>158</v>
      </c>
      <c r="F248" s="9" t="s">
        <v>791</v>
      </c>
      <c r="G248" s="25" t="n">
        <v>250</v>
      </c>
      <c r="H248" s="21" t="n">
        <f aca="false">IF(AND($L248="Yes",ISERROR(SEARCH("%",$F248))),$G248*'Cover &amp; Legend'!$C$12,0)</f>
        <v>37.5</v>
      </c>
      <c r="I248" s="21" t="n">
        <f aca="false">IF(ISERROR(SEARCH("%",$F248)),$G248+$H248,0)</f>
        <v>287.5</v>
      </c>
      <c r="J248" s="21" t="n">
        <v>250</v>
      </c>
      <c r="K248" s="9" t="s">
        <v>792</v>
      </c>
      <c r="L248" s="18" t="s">
        <v>95</v>
      </c>
      <c r="M248" s="26" t="s">
        <v>185</v>
      </c>
      <c r="N248" s="23" t="s">
        <v>852</v>
      </c>
    </row>
    <row r="249" customFormat="false" ht="30" hidden="false" customHeight="true" outlineLevel="0" collapsed="false">
      <c r="A249" s="18" t="s">
        <v>853</v>
      </c>
      <c r="B249" s="9" t="s">
        <v>60</v>
      </c>
      <c r="C249" s="9" t="s">
        <v>836</v>
      </c>
      <c r="D249" s="9" t="s">
        <v>854</v>
      </c>
      <c r="E249" s="9" t="s">
        <v>158</v>
      </c>
      <c r="F249" s="9" t="s">
        <v>350</v>
      </c>
      <c r="G249" s="25" t="n">
        <v>400</v>
      </c>
      <c r="H249" s="21" t="n">
        <f aca="false">IF(AND($L249="Yes",ISERROR(SEARCH("%",$F249))),$G249*'Cover &amp; Legend'!$C$12,0)</f>
        <v>60</v>
      </c>
      <c r="I249" s="21" t="n">
        <f aca="false">IF(ISERROR(SEARCH("%",$F249)),$G249+$H249,0)</f>
        <v>460</v>
      </c>
      <c r="J249" s="21" t="n">
        <v>400</v>
      </c>
      <c r="K249" s="9" t="s">
        <v>274</v>
      </c>
      <c r="L249" s="18" t="s">
        <v>95</v>
      </c>
      <c r="M249" s="26" t="s">
        <v>185</v>
      </c>
      <c r="N249" s="23" t="s">
        <v>421</v>
      </c>
    </row>
    <row r="250" customFormat="false" ht="30" hidden="false" customHeight="true" outlineLevel="0" collapsed="false">
      <c r="A250" s="18" t="s">
        <v>855</v>
      </c>
      <c r="B250" s="9" t="s">
        <v>60</v>
      </c>
      <c r="C250" s="9" t="s">
        <v>836</v>
      </c>
      <c r="D250" s="9" t="s">
        <v>856</v>
      </c>
      <c r="E250" s="9" t="s">
        <v>857</v>
      </c>
      <c r="F250" s="9" t="s">
        <v>350</v>
      </c>
      <c r="G250" s="25" t="n">
        <v>350</v>
      </c>
      <c r="H250" s="21" t="n">
        <f aca="false">IF(AND($L250="Yes",ISERROR(SEARCH("%",$F250))),$G250*'Cover &amp; Legend'!$C$12,0)</f>
        <v>52.5</v>
      </c>
      <c r="I250" s="21" t="n">
        <f aca="false">IF(ISERROR(SEARCH("%",$F250)),$G250+$H250,0)</f>
        <v>402.5</v>
      </c>
      <c r="J250" s="21" t="n">
        <v>350</v>
      </c>
      <c r="K250" s="9" t="s">
        <v>274</v>
      </c>
      <c r="L250" s="18" t="s">
        <v>95</v>
      </c>
      <c r="M250" s="26" t="s">
        <v>185</v>
      </c>
      <c r="N250" s="23" t="s">
        <v>858</v>
      </c>
    </row>
    <row r="251" customFormat="false" ht="30" hidden="false" customHeight="true" outlineLevel="0" collapsed="false">
      <c r="A251" s="18" t="s">
        <v>859</v>
      </c>
      <c r="B251" s="9" t="s">
        <v>60</v>
      </c>
      <c r="C251" s="9" t="s">
        <v>860</v>
      </c>
      <c r="D251" s="9" t="s">
        <v>861</v>
      </c>
      <c r="E251" s="9" t="s">
        <v>862</v>
      </c>
      <c r="F251" s="9" t="s">
        <v>863</v>
      </c>
      <c r="G251" s="25" t="n">
        <v>650</v>
      </c>
      <c r="H251" s="21" t="n">
        <f aca="false">IF(AND($L251="Yes",ISERROR(SEARCH("%",$F251))),$G251*'Cover &amp; Legend'!$C$12,0)</f>
        <v>97.5</v>
      </c>
      <c r="I251" s="21" t="n">
        <f aca="false">IF(ISERROR(SEARCH("%",$F251)),$G251+$H251,0)</f>
        <v>747.5</v>
      </c>
      <c r="J251" s="21" t="n">
        <v>650</v>
      </c>
      <c r="K251" s="9" t="s">
        <v>274</v>
      </c>
      <c r="L251" s="18" t="s">
        <v>95</v>
      </c>
      <c r="M251" s="26" t="s">
        <v>185</v>
      </c>
      <c r="N251" s="23" t="s">
        <v>864</v>
      </c>
    </row>
    <row r="252" customFormat="false" ht="30" hidden="false" customHeight="true" outlineLevel="0" collapsed="false">
      <c r="A252" s="18" t="s">
        <v>865</v>
      </c>
      <c r="B252" s="9" t="s">
        <v>60</v>
      </c>
      <c r="C252" s="9" t="s">
        <v>860</v>
      </c>
      <c r="D252" s="9" t="s">
        <v>866</v>
      </c>
      <c r="E252" s="9" t="s">
        <v>862</v>
      </c>
      <c r="F252" s="9" t="s">
        <v>863</v>
      </c>
      <c r="G252" s="25" t="n">
        <v>650</v>
      </c>
      <c r="H252" s="21" t="n">
        <f aca="false">IF(AND($L252="Yes",ISERROR(SEARCH("%",$F252))),$G252*'Cover &amp; Legend'!$C$12,0)</f>
        <v>97.5</v>
      </c>
      <c r="I252" s="21" t="n">
        <f aca="false">IF(ISERROR(SEARCH("%",$F252)),$G252+$H252,0)</f>
        <v>747.5</v>
      </c>
      <c r="J252" s="21" t="n">
        <v>650</v>
      </c>
      <c r="K252" s="9" t="s">
        <v>274</v>
      </c>
      <c r="L252" s="18" t="s">
        <v>95</v>
      </c>
      <c r="M252" s="26" t="s">
        <v>185</v>
      </c>
      <c r="N252" s="23" t="s">
        <v>864</v>
      </c>
    </row>
    <row r="253" customFormat="false" ht="30" hidden="false" customHeight="true" outlineLevel="0" collapsed="false">
      <c r="A253" s="18" t="s">
        <v>867</v>
      </c>
      <c r="B253" s="9" t="s">
        <v>60</v>
      </c>
      <c r="C253" s="9" t="s">
        <v>860</v>
      </c>
      <c r="D253" s="9" t="s">
        <v>868</v>
      </c>
      <c r="E253" s="9" t="s">
        <v>869</v>
      </c>
      <c r="F253" s="9" t="s">
        <v>845</v>
      </c>
      <c r="G253" s="25" t="n">
        <v>500</v>
      </c>
      <c r="H253" s="21" t="n">
        <f aca="false">IF(AND($L253="Yes",ISERROR(SEARCH("%",$F253))),$G253*'Cover &amp; Legend'!$C$12,0)</f>
        <v>75</v>
      </c>
      <c r="I253" s="21" t="n">
        <f aca="false">IF(ISERROR(SEARCH("%",$F253)),$G253+$H253,0)</f>
        <v>575</v>
      </c>
      <c r="J253" s="21" t="n">
        <v>500</v>
      </c>
      <c r="K253" s="9" t="s">
        <v>274</v>
      </c>
      <c r="L253" s="18" t="s">
        <v>95</v>
      </c>
      <c r="M253" s="26" t="s">
        <v>185</v>
      </c>
      <c r="N253" s="23" t="s">
        <v>421</v>
      </c>
    </row>
    <row r="254" customFormat="false" ht="30" hidden="false" customHeight="true" outlineLevel="0" collapsed="false">
      <c r="A254" s="18" t="s">
        <v>870</v>
      </c>
      <c r="B254" s="9" t="s">
        <v>60</v>
      </c>
      <c r="C254" s="9" t="s">
        <v>860</v>
      </c>
      <c r="D254" s="9" t="s">
        <v>871</v>
      </c>
      <c r="E254" s="9" t="s">
        <v>872</v>
      </c>
      <c r="F254" s="9" t="s">
        <v>863</v>
      </c>
      <c r="G254" s="25" t="n">
        <v>300</v>
      </c>
      <c r="H254" s="21" t="n">
        <f aca="false">IF(AND($L254="Yes",ISERROR(SEARCH("%",$F254))),$G254*'Cover &amp; Legend'!$C$12,0)</f>
        <v>45</v>
      </c>
      <c r="I254" s="21" t="n">
        <f aca="false">IF(ISERROR(SEARCH("%",$F254)),$G254+$H254,0)</f>
        <v>345</v>
      </c>
      <c r="J254" s="21" t="n">
        <v>300</v>
      </c>
      <c r="K254" s="9" t="s">
        <v>274</v>
      </c>
      <c r="L254" s="18" t="s">
        <v>95</v>
      </c>
      <c r="M254" s="26" t="s">
        <v>185</v>
      </c>
      <c r="N254" s="23" t="s">
        <v>421</v>
      </c>
    </row>
    <row r="255" customFormat="false" ht="30" hidden="false" customHeight="true" outlineLevel="0" collapsed="false">
      <c r="A255" s="18" t="s">
        <v>873</v>
      </c>
      <c r="B255" s="9" t="s">
        <v>60</v>
      </c>
      <c r="C255" s="9" t="s">
        <v>860</v>
      </c>
      <c r="D255" s="9" t="s">
        <v>874</v>
      </c>
      <c r="E255" s="9" t="s">
        <v>875</v>
      </c>
      <c r="F255" s="9" t="s">
        <v>876</v>
      </c>
      <c r="G255" s="27" t="n">
        <v>0.02</v>
      </c>
      <c r="H255" s="21" t="n">
        <f aca="false">IF(AND($L255="Yes",ISERROR(SEARCH("%",$F255))),$G255*'Cover &amp; Legend'!$C$12,0)</f>
        <v>0</v>
      </c>
      <c r="I255" s="21" t="n">
        <f aca="false">IF(ISERROR(SEARCH("%",$F255)),$G255+$H255,0)</f>
        <v>0</v>
      </c>
      <c r="J255" s="21" t="n">
        <v>250</v>
      </c>
      <c r="K255" s="9" t="s">
        <v>274</v>
      </c>
      <c r="L255" s="18" t="s">
        <v>95</v>
      </c>
      <c r="M255" s="26" t="s">
        <v>185</v>
      </c>
      <c r="N255" s="23" t="s">
        <v>877</v>
      </c>
    </row>
    <row r="256" customFormat="false" ht="30" hidden="false" customHeight="true" outlineLevel="0" collapsed="false">
      <c r="A256" s="18" t="s">
        <v>878</v>
      </c>
      <c r="B256" s="9" t="s">
        <v>60</v>
      </c>
      <c r="C256" s="9" t="s">
        <v>860</v>
      </c>
      <c r="D256" s="9" t="s">
        <v>879</v>
      </c>
      <c r="E256" s="9" t="s">
        <v>862</v>
      </c>
      <c r="F256" s="9" t="s">
        <v>350</v>
      </c>
      <c r="G256" s="25" t="n">
        <v>550</v>
      </c>
      <c r="H256" s="21" t="n">
        <f aca="false">IF(AND($L256="Yes",ISERROR(SEARCH("%",$F256))),$G256*'Cover &amp; Legend'!$C$12,0)</f>
        <v>82.5</v>
      </c>
      <c r="I256" s="21" t="n">
        <f aca="false">IF(ISERROR(SEARCH("%",$F256)),$G256+$H256,0)</f>
        <v>632.5</v>
      </c>
      <c r="J256" s="21" t="n">
        <v>550</v>
      </c>
      <c r="K256" s="9" t="s">
        <v>274</v>
      </c>
      <c r="L256" s="18" t="s">
        <v>95</v>
      </c>
      <c r="M256" s="26" t="s">
        <v>185</v>
      </c>
      <c r="N256" s="23" t="s">
        <v>421</v>
      </c>
    </row>
    <row r="257" customFormat="false" ht="30" hidden="false" customHeight="true" outlineLevel="0" collapsed="false">
      <c r="A257" s="18" t="s">
        <v>880</v>
      </c>
      <c r="B257" s="19" t="s">
        <v>62</v>
      </c>
      <c r="C257" s="9" t="s">
        <v>881</v>
      </c>
      <c r="D257" s="9" t="s">
        <v>882</v>
      </c>
      <c r="E257" s="9" t="s">
        <v>219</v>
      </c>
      <c r="F257" s="9" t="s">
        <v>883</v>
      </c>
      <c r="G257" s="25" t="n">
        <v>45</v>
      </c>
      <c r="H257" s="21" t="n">
        <f aca="false">IF(AND($L257="Yes",ISERROR(SEARCH("%",$F257))),$G257*'Cover &amp; Legend'!$C$12,0)</f>
        <v>6.75</v>
      </c>
      <c r="I257" s="21" t="n">
        <f aca="false">IF(ISERROR(SEARCH("%",$F257)),$G257+$H257,0)</f>
        <v>51.75</v>
      </c>
      <c r="J257" s="21" t="n">
        <v>45</v>
      </c>
      <c r="K257" s="9" t="s">
        <v>274</v>
      </c>
      <c r="L257" s="18" t="s">
        <v>95</v>
      </c>
      <c r="M257" s="26" t="s">
        <v>185</v>
      </c>
      <c r="N257" s="23" t="s">
        <v>884</v>
      </c>
    </row>
    <row r="258" customFormat="false" ht="30" hidden="false" customHeight="true" outlineLevel="0" collapsed="false">
      <c r="A258" s="18" t="s">
        <v>885</v>
      </c>
      <c r="B258" s="9" t="s">
        <v>62</v>
      </c>
      <c r="C258" s="9" t="s">
        <v>881</v>
      </c>
      <c r="D258" s="9" t="s">
        <v>886</v>
      </c>
      <c r="E258" s="9" t="s">
        <v>435</v>
      </c>
      <c r="F258" s="9" t="s">
        <v>436</v>
      </c>
      <c r="G258" s="25" t="n">
        <v>12</v>
      </c>
      <c r="H258" s="21" t="n">
        <f aca="false">IF(AND($L258="Yes",ISERROR(SEARCH("%",$F258))),$G258*'Cover &amp; Legend'!$C$12,0)</f>
        <v>1.8</v>
      </c>
      <c r="I258" s="21" t="n">
        <f aca="false">IF(ISERROR(SEARCH("%",$F258)),$G258+$H258,0)</f>
        <v>13.8</v>
      </c>
      <c r="J258" s="21" t="n">
        <v>120</v>
      </c>
      <c r="K258" s="9" t="s">
        <v>274</v>
      </c>
      <c r="L258" s="18" t="s">
        <v>95</v>
      </c>
      <c r="M258" s="26" t="s">
        <v>185</v>
      </c>
      <c r="N258" s="23" t="s">
        <v>421</v>
      </c>
    </row>
    <row r="259" customFormat="false" ht="30" hidden="false" customHeight="true" outlineLevel="0" collapsed="false">
      <c r="A259" s="18" t="s">
        <v>887</v>
      </c>
      <c r="B259" s="9" t="s">
        <v>62</v>
      </c>
      <c r="C259" s="9" t="s">
        <v>881</v>
      </c>
      <c r="D259" s="9" t="s">
        <v>888</v>
      </c>
      <c r="E259" s="9" t="s">
        <v>219</v>
      </c>
      <c r="F259" s="9" t="s">
        <v>314</v>
      </c>
      <c r="G259" s="25" t="n">
        <v>6</v>
      </c>
      <c r="H259" s="21" t="n">
        <f aca="false">IF(AND($L259="Yes",ISERROR(SEARCH("%",$F259))),$G259*'Cover &amp; Legend'!$C$12,0)</f>
        <v>0.9</v>
      </c>
      <c r="I259" s="21" t="n">
        <f aca="false">IF(ISERROR(SEARCH("%",$F259)),$G259+$H259,0)</f>
        <v>6.9</v>
      </c>
      <c r="J259" s="21" t="n">
        <v>120</v>
      </c>
      <c r="K259" s="9" t="s">
        <v>274</v>
      </c>
      <c r="L259" s="18" t="s">
        <v>95</v>
      </c>
      <c r="M259" s="26" t="s">
        <v>185</v>
      </c>
      <c r="N259" s="23" t="s">
        <v>889</v>
      </c>
    </row>
    <row r="260" customFormat="false" ht="30" hidden="false" customHeight="true" outlineLevel="0" collapsed="false">
      <c r="A260" s="18" t="s">
        <v>890</v>
      </c>
      <c r="B260" s="9" t="s">
        <v>62</v>
      </c>
      <c r="C260" s="9" t="s">
        <v>881</v>
      </c>
      <c r="D260" s="9" t="s">
        <v>891</v>
      </c>
      <c r="E260" s="9" t="s">
        <v>219</v>
      </c>
      <c r="F260" s="9" t="s">
        <v>314</v>
      </c>
      <c r="G260" s="25" t="n">
        <v>15</v>
      </c>
      <c r="H260" s="21" t="n">
        <f aca="false">IF(AND($L260="Yes",ISERROR(SEARCH("%",$F260))),$G260*'Cover &amp; Legend'!$C$12,0)</f>
        <v>2.25</v>
      </c>
      <c r="I260" s="21" t="n">
        <f aca="false">IF(ISERROR(SEARCH("%",$F260)),$G260+$H260,0)</f>
        <v>17.25</v>
      </c>
      <c r="J260" s="21" t="n">
        <v>150</v>
      </c>
      <c r="K260" s="9" t="s">
        <v>274</v>
      </c>
      <c r="L260" s="18" t="s">
        <v>95</v>
      </c>
      <c r="M260" s="26" t="s">
        <v>185</v>
      </c>
      <c r="N260" s="23" t="s">
        <v>421</v>
      </c>
    </row>
    <row r="261" customFormat="false" ht="30" hidden="false" customHeight="true" outlineLevel="0" collapsed="false">
      <c r="A261" s="18" t="s">
        <v>892</v>
      </c>
      <c r="B261" s="9" t="s">
        <v>62</v>
      </c>
      <c r="C261" s="9" t="s">
        <v>881</v>
      </c>
      <c r="D261" s="9" t="s">
        <v>893</v>
      </c>
      <c r="E261" s="9" t="s">
        <v>219</v>
      </c>
      <c r="F261" s="9" t="s">
        <v>314</v>
      </c>
      <c r="G261" s="25" t="n">
        <v>3</v>
      </c>
      <c r="H261" s="21" t="n">
        <f aca="false">IF(AND($L261="Yes",ISERROR(SEARCH("%",$F261))),$G261*'Cover &amp; Legend'!$C$12,0)</f>
        <v>0.45</v>
      </c>
      <c r="I261" s="21" t="n">
        <f aca="false">IF(ISERROR(SEARCH("%",$F261)),$G261+$H261,0)</f>
        <v>3.45</v>
      </c>
      <c r="J261" s="21" t="n">
        <v>100</v>
      </c>
      <c r="K261" s="9" t="s">
        <v>274</v>
      </c>
      <c r="L261" s="18" t="s">
        <v>95</v>
      </c>
      <c r="M261" s="26" t="s">
        <v>185</v>
      </c>
      <c r="N261" s="23" t="s">
        <v>421</v>
      </c>
    </row>
    <row r="262" customFormat="false" ht="30" hidden="false" customHeight="true" outlineLevel="0" collapsed="false">
      <c r="A262" s="18" t="s">
        <v>894</v>
      </c>
      <c r="B262" s="9" t="s">
        <v>62</v>
      </c>
      <c r="C262" s="9" t="s">
        <v>895</v>
      </c>
      <c r="D262" s="9" t="s">
        <v>896</v>
      </c>
      <c r="E262" s="9" t="s">
        <v>219</v>
      </c>
      <c r="F262" s="9" t="s">
        <v>273</v>
      </c>
      <c r="G262" s="25" t="n">
        <v>250</v>
      </c>
      <c r="H262" s="21" t="n">
        <f aca="false">IF(AND($L262="Yes",ISERROR(SEARCH("%",$F262))),$G262*'Cover &amp; Legend'!$C$12,0)</f>
        <v>37.5</v>
      </c>
      <c r="I262" s="21" t="n">
        <f aca="false">IF(ISERROR(SEARCH("%",$F262)),$G262+$H262,0)</f>
        <v>287.5</v>
      </c>
      <c r="J262" s="21" t="n">
        <v>250</v>
      </c>
      <c r="K262" s="9" t="s">
        <v>274</v>
      </c>
      <c r="L262" s="18" t="s">
        <v>95</v>
      </c>
      <c r="M262" s="26" t="s">
        <v>185</v>
      </c>
      <c r="N262" s="23" t="s">
        <v>897</v>
      </c>
    </row>
    <row r="263" customFormat="false" ht="30" hidden="false" customHeight="true" outlineLevel="0" collapsed="false">
      <c r="A263" s="18" t="s">
        <v>898</v>
      </c>
      <c r="B263" s="9" t="s">
        <v>62</v>
      </c>
      <c r="C263" s="9" t="s">
        <v>895</v>
      </c>
      <c r="D263" s="9" t="s">
        <v>899</v>
      </c>
      <c r="E263" s="9" t="s">
        <v>844</v>
      </c>
      <c r="F263" s="9" t="s">
        <v>818</v>
      </c>
      <c r="G263" s="25" t="n">
        <v>300</v>
      </c>
      <c r="H263" s="21" t="n">
        <f aca="false">IF(AND($L263="Yes",ISERROR(SEARCH("%",$F263))),$G263*'Cover &amp; Legend'!$C$12,0)</f>
        <v>45</v>
      </c>
      <c r="I263" s="21" t="n">
        <f aca="false">IF(ISERROR(SEARCH("%",$F263)),$G263+$H263,0)</f>
        <v>345</v>
      </c>
      <c r="J263" s="21" t="n">
        <v>300</v>
      </c>
      <c r="K263" s="9" t="s">
        <v>274</v>
      </c>
      <c r="L263" s="18" t="s">
        <v>95</v>
      </c>
      <c r="M263" s="26" t="s">
        <v>185</v>
      </c>
      <c r="N263" s="23" t="s">
        <v>900</v>
      </c>
    </row>
    <row r="264" customFormat="false" ht="30" hidden="false" customHeight="true" outlineLevel="0" collapsed="false">
      <c r="A264" s="18" t="s">
        <v>901</v>
      </c>
      <c r="B264" s="9" t="s">
        <v>62</v>
      </c>
      <c r="C264" s="9" t="s">
        <v>895</v>
      </c>
      <c r="D264" s="9" t="s">
        <v>902</v>
      </c>
      <c r="E264" s="9" t="s">
        <v>219</v>
      </c>
      <c r="F264" s="9" t="s">
        <v>903</v>
      </c>
      <c r="G264" s="25" t="n">
        <v>900</v>
      </c>
      <c r="H264" s="21" t="n">
        <f aca="false">IF(AND($L264="Yes",ISERROR(SEARCH("%",$F264))),$G264*'Cover &amp; Legend'!$C$12,0)</f>
        <v>135</v>
      </c>
      <c r="I264" s="21" t="n">
        <f aca="false">IF(ISERROR(SEARCH("%",$F264)),$G264+$H264,0)</f>
        <v>1035</v>
      </c>
      <c r="J264" s="21" t="n">
        <v>900</v>
      </c>
      <c r="K264" s="9" t="s">
        <v>274</v>
      </c>
      <c r="L264" s="18" t="s">
        <v>95</v>
      </c>
      <c r="M264" s="26" t="s">
        <v>185</v>
      </c>
      <c r="N264" s="23" t="s">
        <v>421</v>
      </c>
    </row>
    <row r="265" customFormat="false" ht="30" hidden="false" customHeight="true" outlineLevel="0" collapsed="false">
      <c r="A265" s="18" t="s">
        <v>904</v>
      </c>
      <c r="B265" s="9" t="s">
        <v>62</v>
      </c>
      <c r="C265" s="9" t="s">
        <v>895</v>
      </c>
      <c r="D265" s="9" t="s">
        <v>905</v>
      </c>
      <c r="E265" s="9" t="s">
        <v>158</v>
      </c>
      <c r="F265" s="9" t="s">
        <v>906</v>
      </c>
      <c r="G265" s="27" t="n">
        <v>0</v>
      </c>
      <c r="H265" s="21" t="n">
        <f aca="false">IF(AND($L265="Yes",ISERROR(SEARCH("%",$F265))),$G265*'Cover &amp; Legend'!$C$12,0)</f>
        <v>0</v>
      </c>
      <c r="I265" s="21" t="n">
        <f aca="false">IF(ISERROR(SEARCH("%",$F265)),$G265+$H265,0)</f>
        <v>0</v>
      </c>
      <c r="J265" s="21" t="n">
        <v>500</v>
      </c>
      <c r="K265" s="9" t="s">
        <v>274</v>
      </c>
      <c r="L265" s="18" t="s">
        <v>95</v>
      </c>
      <c r="M265" s="26" t="s">
        <v>185</v>
      </c>
      <c r="N265" s="23" t="s">
        <v>907</v>
      </c>
    </row>
    <row r="266" customFormat="false" ht="30" hidden="false" customHeight="true" outlineLevel="0" collapsed="false">
      <c r="A266" s="18" t="s">
        <v>908</v>
      </c>
      <c r="B266" s="9" t="s">
        <v>62</v>
      </c>
      <c r="C266" s="9" t="s">
        <v>895</v>
      </c>
      <c r="D266" s="9" t="s">
        <v>909</v>
      </c>
      <c r="E266" s="9" t="s">
        <v>219</v>
      </c>
      <c r="F266" s="9" t="s">
        <v>906</v>
      </c>
      <c r="G266" s="27" t="n">
        <v>0</v>
      </c>
      <c r="H266" s="21" t="n">
        <f aca="false">IF(AND($L266="Yes",ISERROR(SEARCH("%",$F266))),$G266*'Cover &amp; Legend'!$C$12,0)</f>
        <v>0</v>
      </c>
      <c r="I266" s="21" t="n">
        <f aca="false">IF(ISERROR(SEARCH("%",$F266)),$G266+$H266,0)</f>
        <v>0</v>
      </c>
      <c r="J266" s="21" t="n">
        <v>1000</v>
      </c>
      <c r="K266" s="9" t="s">
        <v>274</v>
      </c>
      <c r="L266" s="18" t="s">
        <v>95</v>
      </c>
      <c r="M266" s="26" t="s">
        <v>185</v>
      </c>
      <c r="N266" s="23" t="s">
        <v>910</v>
      </c>
    </row>
    <row r="267" customFormat="false" ht="30" hidden="false" customHeight="true" outlineLevel="0" collapsed="false">
      <c r="A267" s="18" t="s">
        <v>911</v>
      </c>
      <c r="B267" s="19" t="s">
        <v>64</v>
      </c>
      <c r="C267" s="9" t="s">
        <v>912</v>
      </c>
      <c r="D267" s="9" t="s">
        <v>913</v>
      </c>
      <c r="E267" s="9" t="s">
        <v>219</v>
      </c>
      <c r="F267" s="9" t="s">
        <v>914</v>
      </c>
      <c r="G267" s="25" t="n">
        <v>450</v>
      </c>
      <c r="H267" s="21" t="n">
        <f aca="false">IF(AND($L267="Yes",ISERROR(SEARCH("%",$F267))),$G267*'Cover &amp; Legend'!$C$12,0)</f>
        <v>67.5</v>
      </c>
      <c r="I267" s="21" t="n">
        <f aca="false">IF(ISERROR(SEARCH("%",$F267)),$G267+$H267,0)</f>
        <v>517.5</v>
      </c>
      <c r="J267" s="21" t="n">
        <v>450</v>
      </c>
      <c r="K267" s="9" t="s">
        <v>274</v>
      </c>
      <c r="L267" s="18" t="s">
        <v>95</v>
      </c>
      <c r="M267" s="26" t="s">
        <v>185</v>
      </c>
      <c r="N267" s="23" t="s">
        <v>915</v>
      </c>
    </row>
    <row r="268" customFormat="false" ht="30" hidden="false" customHeight="true" outlineLevel="0" collapsed="false">
      <c r="A268" s="18" t="s">
        <v>916</v>
      </c>
      <c r="B268" s="9" t="s">
        <v>64</v>
      </c>
      <c r="C268" s="9" t="s">
        <v>912</v>
      </c>
      <c r="D268" s="9" t="s">
        <v>917</v>
      </c>
      <c r="E268" s="9" t="s">
        <v>219</v>
      </c>
      <c r="F268" s="9" t="s">
        <v>914</v>
      </c>
      <c r="G268" s="25" t="n">
        <v>600</v>
      </c>
      <c r="H268" s="21" t="n">
        <f aca="false">IF(AND($L268="Yes",ISERROR(SEARCH("%",$F268))),$G268*'Cover &amp; Legend'!$C$12,0)</f>
        <v>90</v>
      </c>
      <c r="I268" s="21" t="n">
        <f aca="false">IF(ISERROR(SEARCH("%",$F268)),$G268+$H268,0)</f>
        <v>690</v>
      </c>
      <c r="J268" s="21" t="n">
        <v>600</v>
      </c>
      <c r="K268" s="9" t="s">
        <v>274</v>
      </c>
      <c r="L268" s="18" t="s">
        <v>95</v>
      </c>
      <c r="M268" s="26" t="s">
        <v>185</v>
      </c>
      <c r="N268" s="23" t="s">
        <v>421</v>
      </c>
    </row>
    <row r="269" customFormat="false" ht="30" hidden="false" customHeight="true" outlineLevel="0" collapsed="false">
      <c r="A269" s="18" t="s">
        <v>918</v>
      </c>
      <c r="B269" s="9" t="s">
        <v>64</v>
      </c>
      <c r="C269" s="9" t="s">
        <v>912</v>
      </c>
      <c r="D269" s="9" t="s">
        <v>919</v>
      </c>
      <c r="E269" s="9" t="s">
        <v>219</v>
      </c>
      <c r="F269" s="9" t="s">
        <v>914</v>
      </c>
      <c r="G269" s="25" t="n">
        <v>900</v>
      </c>
      <c r="H269" s="21" t="n">
        <f aca="false">IF(AND($L269="Yes",ISERROR(SEARCH("%",$F269))),$G269*'Cover &amp; Legend'!$C$12,0)</f>
        <v>135</v>
      </c>
      <c r="I269" s="21" t="n">
        <f aca="false">IF(ISERROR(SEARCH("%",$F269)),$G269+$H269,0)</f>
        <v>1035</v>
      </c>
      <c r="J269" s="21" t="n">
        <v>900</v>
      </c>
      <c r="K269" s="9" t="s">
        <v>274</v>
      </c>
      <c r="L269" s="18" t="s">
        <v>95</v>
      </c>
      <c r="M269" s="26" t="s">
        <v>185</v>
      </c>
      <c r="N269" s="23" t="s">
        <v>421</v>
      </c>
    </row>
    <row r="270" customFormat="false" ht="30" hidden="false" customHeight="true" outlineLevel="0" collapsed="false">
      <c r="A270" s="18" t="s">
        <v>920</v>
      </c>
      <c r="B270" s="9" t="s">
        <v>64</v>
      </c>
      <c r="C270" s="9" t="s">
        <v>912</v>
      </c>
      <c r="D270" s="9" t="s">
        <v>921</v>
      </c>
      <c r="E270" s="9" t="s">
        <v>219</v>
      </c>
      <c r="F270" s="9" t="s">
        <v>914</v>
      </c>
      <c r="G270" s="25" t="n">
        <v>1300</v>
      </c>
      <c r="H270" s="21" t="n">
        <f aca="false">IF(AND($L270="Yes",ISERROR(SEARCH("%",$F270))),$G270*'Cover &amp; Legend'!$C$12,0)</f>
        <v>195</v>
      </c>
      <c r="I270" s="21" t="n">
        <f aca="false">IF(ISERROR(SEARCH("%",$F270)),$G270+$H270,0)</f>
        <v>1495</v>
      </c>
      <c r="J270" s="21" t="n">
        <v>1300</v>
      </c>
      <c r="K270" s="9" t="s">
        <v>274</v>
      </c>
      <c r="L270" s="18" t="s">
        <v>95</v>
      </c>
      <c r="M270" s="26" t="s">
        <v>185</v>
      </c>
      <c r="N270" s="23" t="s">
        <v>421</v>
      </c>
    </row>
    <row r="271" customFormat="false" ht="30" hidden="false" customHeight="true" outlineLevel="0" collapsed="false">
      <c r="A271" s="18" t="s">
        <v>922</v>
      </c>
      <c r="B271" s="9" t="s">
        <v>64</v>
      </c>
      <c r="C271" s="9" t="s">
        <v>912</v>
      </c>
      <c r="D271" s="9" t="s">
        <v>923</v>
      </c>
      <c r="E271" s="9" t="s">
        <v>219</v>
      </c>
      <c r="F271" s="9" t="s">
        <v>924</v>
      </c>
      <c r="G271" s="25" t="n">
        <v>150</v>
      </c>
      <c r="H271" s="21" t="n">
        <f aca="false">IF(AND($L271="Yes",ISERROR(SEARCH("%",$F271))),$G271*'Cover &amp; Legend'!$C$12,0)</f>
        <v>22.5</v>
      </c>
      <c r="I271" s="21" t="n">
        <f aca="false">IF(ISERROR(SEARCH("%",$F271)),$G271+$H271,0)</f>
        <v>172.5</v>
      </c>
      <c r="J271" s="21" t="n">
        <v>150</v>
      </c>
      <c r="K271" s="9" t="s">
        <v>274</v>
      </c>
      <c r="L271" s="18" t="s">
        <v>95</v>
      </c>
      <c r="M271" s="26" t="s">
        <v>185</v>
      </c>
      <c r="N271" s="23" t="s">
        <v>421</v>
      </c>
    </row>
    <row r="272" customFormat="false" ht="30" hidden="false" customHeight="true" outlineLevel="0" collapsed="false">
      <c r="A272" s="18" t="s">
        <v>925</v>
      </c>
      <c r="B272" s="9" t="s">
        <v>64</v>
      </c>
      <c r="C272" s="9" t="s">
        <v>912</v>
      </c>
      <c r="D272" s="9" t="s">
        <v>926</v>
      </c>
      <c r="E272" s="9" t="s">
        <v>435</v>
      </c>
      <c r="F272" s="9" t="s">
        <v>436</v>
      </c>
      <c r="G272" s="25" t="n">
        <v>22</v>
      </c>
      <c r="H272" s="21" t="n">
        <f aca="false">IF(AND($L272="Yes",ISERROR(SEARCH("%",$F272))),$G272*'Cover &amp; Legend'!$C$12,0)</f>
        <v>3.3</v>
      </c>
      <c r="I272" s="21" t="n">
        <f aca="false">IF(ISERROR(SEARCH("%",$F272)),$G272+$H272,0)</f>
        <v>25.3</v>
      </c>
      <c r="J272" s="21" t="n">
        <v>220</v>
      </c>
      <c r="K272" s="9" t="s">
        <v>274</v>
      </c>
      <c r="L272" s="18" t="s">
        <v>95</v>
      </c>
      <c r="M272" s="26" t="s">
        <v>185</v>
      </c>
      <c r="N272" s="23" t="s">
        <v>421</v>
      </c>
    </row>
    <row r="273" customFormat="false" ht="30" hidden="false" customHeight="true" outlineLevel="0" collapsed="false">
      <c r="A273" s="18" t="s">
        <v>927</v>
      </c>
      <c r="B273" s="9" t="s">
        <v>64</v>
      </c>
      <c r="C273" s="9" t="s">
        <v>928</v>
      </c>
      <c r="D273" s="9" t="s">
        <v>929</v>
      </c>
      <c r="E273" s="9" t="s">
        <v>219</v>
      </c>
      <c r="F273" s="9" t="s">
        <v>914</v>
      </c>
      <c r="G273" s="25" t="n">
        <v>0</v>
      </c>
      <c r="H273" s="21" t="n">
        <f aca="false">IF(AND($L273="Yes",ISERROR(SEARCH("%",$F273))),$G273*'Cover &amp; Legend'!$C$12,0)</f>
        <v>0</v>
      </c>
      <c r="I273" s="21" t="n">
        <f aca="false">IF(ISERROR(SEARCH("%",$F273)),$G273+$H273,0)</f>
        <v>0</v>
      </c>
      <c r="J273" s="21" t="n">
        <v>0</v>
      </c>
      <c r="K273" s="9" t="s">
        <v>274</v>
      </c>
      <c r="L273" s="18" t="s">
        <v>95</v>
      </c>
      <c r="M273" s="26" t="s">
        <v>185</v>
      </c>
      <c r="N273" s="23" t="s">
        <v>930</v>
      </c>
    </row>
    <row r="274" customFormat="false" ht="30" hidden="false" customHeight="true" outlineLevel="0" collapsed="false">
      <c r="A274" s="18" t="s">
        <v>931</v>
      </c>
      <c r="B274" s="9" t="s">
        <v>64</v>
      </c>
      <c r="C274" s="9" t="s">
        <v>928</v>
      </c>
      <c r="D274" s="9" t="s">
        <v>932</v>
      </c>
      <c r="E274" s="9" t="s">
        <v>872</v>
      </c>
      <c r="F274" s="9" t="s">
        <v>278</v>
      </c>
      <c r="G274" s="25" t="n">
        <v>0</v>
      </c>
      <c r="H274" s="21" t="n">
        <f aca="false">IF(AND($L274="Yes",ISERROR(SEARCH("%",$F274))),$G274*'Cover &amp; Legend'!$C$12,0)</f>
        <v>0</v>
      </c>
      <c r="I274" s="21" t="n">
        <f aca="false">IF(ISERROR(SEARCH("%",$F274)),$G274+$H274,0)</f>
        <v>0</v>
      </c>
      <c r="J274" s="21" t="n">
        <v>0</v>
      </c>
      <c r="K274" s="9" t="s">
        <v>274</v>
      </c>
      <c r="L274" s="18" t="s">
        <v>95</v>
      </c>
      <c r="M274" s="26" t="s">
        <v>185</v>
      </c>
      <c r="N274" s="23" t="s">
        <v>933</v>
      </c>
    </row>
    <row r="275" customFormat="false" ht="30" hidden="false" customHeight="true" outlineLevel="0" collapsed="false">
      <c r="A275" s="18" t="s">
        <v>934</v>
      </c>
      <c r="B275" s="9" t="s">
        <v>64</v>
      </c>
      <c r="C275" s="9" t="s">
        <v>928</v>
      </c>
      <c r="D275" s="9" t="s">
        <v>935</v>
      </c>
      <c r="E275" s="9" t="s">
        <v>182</v>
      </c>
      <c r="F275" s="9" t="s">
        <v>936</v>
      </c>
      <c r="G275" s="27" t="n">
        <v>0.45</v>
      </c>
      <c r="H275" s="21" t="n">
        <f aca="false">IF(AND($L275="Yes",ISERROR(SEARCH("%",$F275))),$G275*'Cover &amp; Legend'!$C$12,0)</f>
        <v>0</v>
      </c>
      <c r="I275" s="21" t="n">
        <f aca="false">IF(ISERROR(SEARCH("%",$F275)),$G275+$H275,0)</f>
        <v>0</v>
      </c>
      <c r="J275" s="21" t="n">
        <v>0</v>
      </c>
      <c r="K275" s="9" t="s">
        <v>274</v>
      </c>
      <c r="L275" s="18" t="s">
        <v>95</v>
      </c>
      <c r="M275" s="26" t="s">
        <v>185</v>
      </c>
      <c r="N275" s="23" t="s">
        <v>421</v>
      </c>
    </row>
    <row r="276" customFormat="false" ht="30" hidden="false" customHeight="true" outlineLevel="0" collapsed="false">
      <c r="A276" s="18" t="s">
        <v>937</v>
      </c>
      <c r="B276" s="9" t="s">
        <v>64</v>
      </c>
      <c r="C276" s="9" t="s">
        <v>928</v>
      </c>
      <c r="D276" s="9" t="s">
        <v>938</v>
      </c>
      <c r="E276" s="9" t="s">
        <v>158</v>
      </c>
      <c r="F276" s="9" t="s">
        <v>936</v>
      </c>
      <c r="G276" s="27" t="n">
        <v>0.35</v>
      </c>
      <c r="H276" s="21" t="n">
        <f aca="false">IF(AND($L276="Yes",ISERROR(SEARCH("%",$F276))),$G276*'Cover &amp; Legend'!$C$12,0)</f>
        <v>0</v>
      </c>
      <c r="I276" s="21" t="n">
        <f aca="false">IF(ISERROR(SEARCH("%",$F276)),$G276+$H276,0)</f>
        <v>0</v>
      </c>
      <c r="J276" s="21" t="n">
        <v>0</v>
      </c>
      <c r="K276" s="9" t="s">
        <v>274</v>
      </c>
      <c r="L276" s="18" t="s">
        <v>95</v>
      </c>
      <c r="M276" s="26" t="s">
        <v>185</v>
      </c>
      <c r="N276" s="23" t="s">
        <v>421</v>
      </c>
    </row>
    <row r="277" customFormat="false" ht="30" hidden="false" customHeight="true" outlineLevel="0" collapsed="false">
      <c r="A277" s="18" t="s">
        <v>939</v>
      </c>
      <c r="B277" s="9" t="s">
        <v>64</v>
      </c>
      <c r="C277" s="9" t="s">
        <v>940</v>
      </c>
      <c r="D277" s="9" t="s">
        <v>941</v>
      </c>
      <c r="E277" s="9" t="s">
        <v>219</v>
      </c>
      <c r="F277" s="9" t="s">
        <v>646</v>
      </c>
      <c r="G277" s="25" t="n">
        <v>100</v>
      </c>
      <c r="H277" s="21" t="n">
        <f aca="false">IF(AND($L277="Yes",ISERROR(SEARCH("%",$F277))),$G277*'Cover &amp; Legend'!$C$12,0)</f>
        <v>15</v>
      </c>
      <c r="I277" s="21" t="n">
        <f aca="false">IF(ISERROR(SEARCH("%",$F277)),$G277+$H277,0)</f>
        <v>115</v>
      </c>
      <c r="J277" s="21" t="n">
        <v>100</v>
      </c>
      <c r="K277" s="9" t="s">
        <v>274</v>
      </c>
      <c r="L277" s="18" t="s">
        <v>95</v>
      </c>
      <c r="M277" s="26" t="s">
        <v>185</v>
      </c>
      <c r="N277" s="23" t="s">
        <v>421</v>
      </c>
    </row>
    <row r="278" customFormat="false" ht="30" hidden="false" customHeight="true" outlineLevel="0" collapsed="false">
      <c r="A278" s="18" t="s">
        <v>942</v>
      </c>
      <c r="B278" s="9" t="s">
        <v>64</v>
      </c>
      <c r="C278" s="9" t="s">
        <v>940</v>
      </c>
      <c r="D278" s="9" t="s">
        <v>943</v>
      </c>
      <c r="E278" s="9" t="s">
        <v>219</v>
      </c>
      <c r="F278" s="9" t="s">
        <v>914</v>
      </c>
      <c r="G278" s="25" t="n">
        <v>0</v>
      </c>
      <c r="H278" s="21" t="n">
        <f aca="false">IF(AND($L278="Yes",ISERROR(SEARCH("%",$F278))),$G278*'Cover &amp; Legend'!$C$12,0)</f>
        <v>0</v>
      </c>
      <c r="I278" s="21" t="n">
        <f aca="false">IF(ISERROR(SEARCH("%",$F278)),$G278+$H278,0)</f>
        <v>0</v>
      </c>
      <c r="J278" s="21" t="n">
        <v>250</v>
      </c>
      <c r="K278" s="9" t="s">
        <v>274</v>
      </c>
      <c r="L278" s="18" t="s">
        <v>95</v>
      </c>
      <c r="M278" s="26" t="s">
        <v>185</v>
      </c>
      <c r="N278" s="23" t="s">
        <v>944</v>
      </c>
    </row>
    <row r="279" customFormat="false" ht="30" hidden="false" customHeight="true" outlineLevel="0" collapsed="false">
      <c r="A279" s="18" t="s">
        <v>945</v>
      </c>
      <c r="B279" s="9" t="s">
        <v>64</v>
      </c>
      <c r="C279" s="9" t="s">
        <v>940</v>
      </c>
      <c r="D279" s="9" t="s">
        <v>946</v>
      </c>
      <c r="E279" s="9" t="s">
        <v>872</v>
      </c>
      <c r="F279" s="9" t="s">
        <v>947</v>
      </c>
      <c r="G279" s="27" t="n">
        <v>0</v>
      </c>
      <c r="H279" s="21" t="n">
        <f aca="false">IF(AND($L279="Yes",ISERROR(SEARCH("%",$F279))),$G279*'Cover &amp; Legend'!$C$12,0)</f>
        <v>0</v>
      </c>
      <c r="I279" s="21" t="n">
        <f aca="false">IF(ISERROR(SEARCH("%",$F279)),$G279+$H279,0)</f>
        <v>0</v>
      </c>
      <c r="J279" s="21" t="n">
        <v>0</v>
      </c>
      <c r="K279" s="9" t="s">
        <v>274</v>
      </c>
      <c r="L279" s="18" t="s">
        <v>95</v>
      </c>
      <c r="M279" s="26" t="s">
        <v>185</v>
      </c>
      <c r="N279" s="23" t="s">
        <v>948</v>
      </c>
    </row>
    <row r="280" customFormat="false" ht="30" hidden="false" customHeight="true" outlineLevel="0" collapsed="false">
      <c r="A280" s="18" t="s">
        <v>949</v>
      </c>
      <c r="B280" s="19" t="s">
        <v>66</v>
      </c>
      <c r="C280" s="9" t="s">
        <v>950</v>
      </c>
      <c r="D280" s="9" t="s">
        <v>951</v>
      </c>
      <c r="E280" s="9" t="s">
        <v>219</v>
      </c>
      <c r="F280" s="9" t="s">
        <v>792</v>
      </c>
      <c r="G280" s="25" t="n">
        <v>15000</v>
      </c>
      <c r="H280" s="21" t="n">
        <f aca="false">IF(AND($L280="Yes",ISERROR(SEARCH("%",$F280))),$G280*'Cover &amp; Legend'!$C$12,0)</f>
        <v>2250</v>
      </c>
      <c r="I280" s="21" t="n">
        <f aca="false">IF(ISERROR(SEARCH("%",$F280)),$G280+$H280,0)</f>
        <v>17250</v>
      </c>
      <c r="J280" s="21" t="n">
        <v>15000</v>
      </c>
      <c r="K280" s="9" t="s">
        <v>792</v>
      </c>
      <c r="L280" s="18" t="s">
        <v>95</v>
      </c>
      <c r="M280" s="26" t="s">
        <v>185</v>
      </c>
      <c r="N280" s="23" t="s">
        <v>952</v>
      </c>
    </row>
    <row r="281" customFormat="false" ht="30" hidden="false" customHeight="true" outlineLevel="0" collapsed="false">
      <c r="A281" s="18" t="s">
        <v>953</v>
      </c>
      <c r="B281" s="9" t="s">
        <v>66</v>
      </c>
      <c r="C281" s="9" t="s">
        <v>950</v>
      </c>
      <c r="D281" s="9" t="s">
        <v>954</v>
      </c>
      <c r="E281" s="9" t="s">
        <v>219</v>
      </c>
      <c r="F281" s="9" t="s">
        <v>955</v>
      </c>
      <c r="G281" s="25" t="n">
        <v>250</v>
      </c>
      <c r="H281" s="21" t="n">
        <f aca="false">IF(AND($L281="Yes",ISERROR(SEARCH("%",$F281))),$G281*'Cover &amp; Legend'!$C$12,0)</f>
        <v>37.5</v>
      </c>
      <c r="I281" s="21" t="n">
        <f aca="false">IF(ISERROR(SEARCH("%",$F281)),$G281+$H281,0)</f>
        <v>287.5</v>
      </c>
      <c r="J281" s="21" t="n">
        <v>250</v>
      </c>
      <c r="K281" s="9" t="s">
        <v>94</v>
      </c>
      <c r="L281" s="18" t="s">
        <v>95</v>
      </c>
      <c r="M281" s="26" t="s">
        <v>185</v>
      </c>
      <c r="N281" s="23" t="s">
        <v>956</v>
      </c>
    </row>
    <row r="282" customFormat="false" ht="30" hidden="false" customHeight="true" outlineLevel="0" collapsed="false">
      <c r="A282" s="18" t="s">
        <v>957</v>
      </c>
      <c r="B282" s="9" t="s">
        <v>66</v>
      </c>
      <c r="C282" s="9" t="s">
        <v>950</v>
      </c>
      <c r="D282" s="9" t="s">
        <v>958</v>
      </c>
      <c r="E282" s="9" t="s">
        <v>219</v>
      </c>
      <c r="F282" s="9" t="s">
        <v>792</v>
      </c>
      <c r="G282" s="25" t="n">
        <v>25000</v>
      </c>
      <c r="H282" s="21" t="n">
        <f aca="false">IF(AND($L282="Yes",ISERROR(SEARCH("%",$F282))),$G282*'Cover &amp; Legend'!$C$12,0)</f>
        <v>3750</v>
      </c>
      <c r="I282" s="21" t="n">
        <f aca="false">IF(ISERROR(SEARCH("%",$F282)),$G282+$H282,0)</f>
        <v>28750</v>
      </c>
      <c r="J282" s="21" t="n">
        <v>25000</v>
      </c>
      <c r="K282" s="9" t="s">
        <v>792</v>
      </c>
      <c r="L282" s="18" t="s">
        <v>95</v>
      </c>
      <c r="M282" s="26" t="s">
        <v>185</v>
      </c>
      <c r="N282" s="23" t="s">
        <v>959</v>
      </c>
    </row>
    <row r="283" customFormat="false" ht="30" hidden="false" customHeight="true" outlineLevel="0" collapsed="false">
      <c r="A283" s="18" t="s">
        <v>960</v>
      </c>
      <c r="B283" s="9" t="s">
        <v>66</v>
      </c>
      <c r="C283" s="9" t="s">
        <v>950</v>
      </c>
      <c r="D283" s="9" t="s">
        <v>961</v>
      </c>
      <c r="E283" s="9" t="s">
        <v>219</v>
      </c>
      <c r="F283" s="9" t="s">
        <v>642</v>
      </c>
      <c r="G283" s="25" t="n">
        <v>1500</v>
      </c>
      <c r="H283" s="21" t="n">
        <f aca="false">IF(AND($L283="Yes",ISERROR(SEARCH("%",$F283))),$G283*'Cover &amp; Legend'!$C$12,0)</f>
        <v>225</v>
      </c>
      <c r="I283" s="21" t="n">
        <f aca="false">IF(ISERROR(SEARCH("%",$F283)),$G283+$H283,0)</f>
        <v>1725</v>
      </c>
      <c r="J283" s="21" t="n">
        <v>1500</v>
      </c>
      <c r="K283" s="9" t="s">
        <v>94</v>
      </c>
      <c r="L283" s="18" t="s">
        <v>95</v>
      </c>
      <c r="M283" s="26" t="s">
        <v>185</v>
      </c>
      <c r="N283" s="23" t="s">
        <v>421</v>
      </c>
    </row>
    <row r="284" customFormat="false" ht="30" hidden="false" customHeight="true" outlineLevel="0" collapsed="false">
      <c r="A284" s="18" t="s">
        <v>962</v>
      </c>
      <c r="B284" s="9" t="s">
        <v>66</v>
      </c>
      <c r="C284" s="9" t="s">
        <v>950</v>
      </c>
      <c r="D284" s="9" t="s">
        <v>963</v>
      </c>
      <c r="E284" s="9" t="s">
        <v>219</v>
      </c>
      <c r="F284" s="9" t="s">
        <v>964</v>
      </c>
      <c r="G284" s="25" t="n">
        <v>2500</v>
      </c>
      <c r="H284" s="21" t="n">
        <f aca="false">IF(AND($L284="Yes",ISERROR(SEARCH("%",$F284))),$G284*'Cover &amp; Legend'!$C$12,0)</f>
        <v>375</v>
      </c>
      <c r="I284" s="21" t="n">
        <f aca="false">IF(ISERROR(SEARCH("%",$F284)),$G284+$H284,0)</f>
        <v>2875</v>
      </c>
      <c r="J284" s="21" t="n">
        <v>2500</v>
      </c>
      <c r="K284" s="9" t="s">
        <v>274</v>
      </c>
      <c r="L284" s="18" t="s">
        <v>95</v>
      </c>
      <c r="M284" s="26" t="s">
        <v>185</v>
      </c>
      <c r="N284" s="23" t="s">
        <v>421</v>
      </c>
    </row>
    <row r="285" customFormat="false" ht="30" hidden="false" customHeight="true" outlineLevel="0" collapsed="false">
      <c r="A285" s="18" t="s">
        <v>965</v>
      </c>
      <c r="B285" s="9" t="s">
        <v>66</v>
      </c>
      <c r="C285" s="9" t="s">
        <v>950</v>
      </c>
      <c r="D285" s="9" t="s">
        <v>966</v>
      </c>
      <c r="E285" s="9" t="s">
        <v>219</v>
      </c>
      <c r="F285" s="9" t="s">
        <v>792</v>
      </c>
      <c r="G285" s="25" t="n">
        <v>8000</v>
      </c>
      <c r="H285" s="21" t="n">
        <f aca="false">IF(AND($L285="Yes",ISERROR(SEARCH("%",$F285))),$G285*'Cover &amp; Legend'!$C$12,0)</f>
        <v>1200</v>
      </c>
      <c r="I285" s="21" t="n">
        <f aca="false">IF(ISERROR(SEARCH("%",$F285)),$G285+$H285,0)</f>
        <v>9200</v>
      </c>
      <c r="J285" s="21" t="n">
        <v>8000</v>
      </c>
      <c r="K285" s="9" t="s">
        <v>792</v>
      </c>
      <c r="L285" s="18" t="s">
        <v>95</v>
      </c>
      <c r="M285" s="26" t="s">
        <v>185</v>
      </c>
      <c r="N285" s="23" t="s">
        <v>421</v>
      </c>
    </row>
    <row r="286" customFormat="false" ht="30" hidden="false" customHeight="true" outlineLevel="0" collapsed="false">
      <c r="A286" s="18" t="s">
        <v>967</v>
      </c>
      <c r="B286" s="9" t="s">
        <v>66</v>
      </c>
      <c r="C286" s="9" t="s">
        <v>950</v>
      </c>
      <c r="D286" s="9" t="s">
        <v>968</v>
      </c>
      <c r="E286" s="9" t="s">
        <v>219</v>
      </c>
      <c r="F286" s="9" t="s">
        <v>792</v>
      </c>
      <c r="G286" s="25" t="n">
        <v>10000</v>
      </c>
      <c r="H286" s="21" t="n">
        <f aca="false">IF(AND($L286="Yes",ISERROR(SEARCH("%",$F286))),$G286*'Cover &amp; Legend'!$C$12,0)</f>
        <v>1500</v>
      </c>
      <c r="I286" s="21" t="n">
        <f aca="false">IF(ISERROR(SEARCH("%",$F286)),$G286+$H286,0)</f>
        <v>11500</v>
      </c>
      <c r="J286" s="21" t="n">
        <v>10000</v>
      </c>
      <c r="K286" s="9" t="s">
        <v>792</v>
      </c>
      <c r="L286" s="18" t="s">
        <v>95</v>
      </c>
      <c r="M286" s="26" t="s">
        <v>185</v>
      </c>
      <c r="N286" s="23" t="s">
        <v>969</v>
      </c>
    </row>
    <row r="287" customFormat="false" ht="30" hidden="false" customHeight="true" outlineLevel="0" collapsed="false">
      <c r="A287" s="18" t="s">
        <v>970</v>
      </c>
      <c r="B287" s="19" t="s">
        <v>68</v>
      </c>
      <c r="C287" s="9" t="s">
        <v>971</v>
      </c>
      <c r="D287" s="9" t="s">
        <v>972</v>
      </c>
      <c r="E287" s="9" t="s">
        <v>219</v>
      </c>
      <c r="F287" s="9" t="s">
        <v>973</v>
      </c>
      <c r="G287" s="28" t="n">
        <v>0.01</v>
      </c>
      <c r="H287" s="21" t="n">
        <f aca="false">IF(AND($L287="Yes",ISERROR(SEARCH("%",$F287))),$G287*'Cover &amp; Legend'!$C$12,0)</f>
        <v>0</v>
      </c>
      <c r="I287" s="21" t="n">
        <f aca="false">IF(ISERROR(SEARCH("%",$F287)),$G287+$H287,0)</f>
        <v>0</v>
      </c>
      <c r="J287" s="21" t="n">
        <v>1500</v>
      </c>
      <c r="K287" s="9" t="s">
        <v>840</v>
      </c>
      <c r="L287" s="18" t="s">
        <v>810</v>
      </c>
      <c r="M287" s="24" t="s">
        <v>111</v>
      </c>
      <c r="N287" s="23" t="s">
        <v>974</v>
      </c>
    </row>
    <row r="288" customFormat="false" ht="30" hidden="false" customHeight="true" outlineLevel="0" collapsed="false">
      <c r="A288" s="18" t="s">
        <v>975</v>
      </c>
      <c r="B288" s="9" t="s">
        <v>68</v>
      </c>
      <c r="C288" s="9" t="s">
        <v>971</v>
      </c>
      <c r="D288" s="9" t="s">
        <v>976</v>
      </c>
      <c r="E288" s="9" t="s">
        <v>977</v>
      </c>
      <c r="F288" s="9" t="s">
        <v>973</v>
      </c>
      <c r="G288" s="27" t="n">
        <v>0.018</v>
      </c>
      <c r="H288" s="21" t="n">
        <f aca="false">IF(AND($L288="Yes",ISERROR(SEARCH("%",$F288))),$G288*'Cover &amp; Legend'!$C$12,0)</f>
        <v>0</v>
      </c>
      <c r="I288" s="21" t="n">
        <f aca="false">IF(ISERROR(SEARCH("%",$F288)),$G288+$H288,0)</f>
        <v>0</v>
      </c>
      <c r="J288" s="21" t="n">
        <v>3000</v>
      </c>
      <c r="K288" s="9" t="s">
        <v>840</v>
      </c>
      <c r="L288" s="18" t="s">
        <v>810</v>
      </c>
      <c r="M288" s="26" t="s">
        <v>185</v>
      </c>
      <c r="N288" s="23" t="s">
        <v>978</v>
      </c>
    </row>
    <row r="289" customFormat="false" ht="30" hidden="false" customHeight="true" outlineLevel="0" collapsed="false">
      <c r="A289" s="18" t="s">
        <v>979</v>
      </c>
      <c r="B289" s="9" t="s">
        <v>68</v>
      </c>
      <c r="C289" s="9" t="s">
        <v>971</v>
      </c>
      <c r="D289" s="9" t="s">
        <v>980</v>
      </c>
      <c r="E289" s="9" t="s">
        <v>219</v>
      </c>
      <c r="F289" s="9" t="s">
        <v>981</v>
      </c>
      <c r="G289" s="25" t="n">
        <v>500</v>
      </c>
      <c r="H289" s="21" t="n">
        <f aca="false">IF(AND($L289="Yes",ISERROR(SEARCH("%",$F289))),$G289*'Cover &amp; Legend'!$C$12,0)</f>
        <v>75</v>
      </c>
      <c r="I289" s="21" t="n">
        <f aca="false">IF(ISERROR(SEARCH("%",$F289)),$G289+$H289,0)</f>
        <v>575</v>
      </c>
      <c r="J289" s="21" t="n">
        <v>500</v>
      </c>
      <c r="K289" s="9" t="s">
        <v>792</v>
      </c>
      <c r="L289" s="18" t="s">
        <v>95</v>
      </c>
      <c r="M289" s="26" t="s">
        <v>185</v>
      </c>
      <c r="N289" s="23" t="s">
        <v>982</v>
      </c>
    </row>
    <row r="290" customFormat="false" ht="30" hidden="false" customHeight="true" outlineLevel="0" collapsed="false">
      <c r="A290" s="18" t="s">
        <v>983</v>
      </c>
      <c r="B290" s="9" t="s">
        <v>68</v>
      </c>
      <c r="C290" s="9" t="s">
        <v>984</v>
      </c>
      <c r="D290" s="9" t="s">
        <v>985</v>
      </c>
      <c r="E290" s="9" t="s">
        <v>219</v>
      </c>
      <c r="F290" s="9" t="s">
        <v>986</v>
      </c>
      <c r="G290" s="25" t="n">
        <v>0</v>
      </c>
      <c r="H290" s="21" t="n">
        <f aca="false">IF(AND($L290="Yes",ISERROR(SEARCH("%",$F290))),$G290*'Cover &amp; Legend'!$C$12,0)</f>
        <v>0</v>
      </c>
      <c r="I290" s="21" t="n">
        <f aca="false">IF(ISERROR(SEARCH("%",$F290)),$G290+$H290,0)</f>
        <v>0</v>
      </c>
      <c r="J290" s="21" t="n">
        <v>0</v>
      </c>
      <c r="K290" s="9" t="s">
        <v>274</v>
      </c>
      <c r="L290" s="18" t="s">
        <v>810</v>
      </c>
      <c r="M290" s="26" t="s">
        <v>185</v>
      </c>
      <c r="N290" s="23" t="s">
        <v>987</v>
      </c>
    </row>
    <row r="291" customFormat="false" ht="30" hidden="false" customHeight="true" outlineLevel="0" collapsed="false">
      <c r="A291" s="18" t="s">
        <v>988</v>
      </c>
      <c r="B291" s="9" t="s">
        <v>68</v>
      </c>
      <c r="C291" s="9" t="s">
        <v>984</v>
      </c>
      <c r="D291" s="9" t="s">
        <v>989</v>
      </c>
      <c r="E291" s="9" t="s">
        <v>219</v>
      </c>
      <c r="F291" s="9" t="s">
        <v>990</v>
      </c>
      <c r="G291" s="25" t="n">
        <v>0</v>
      </c>
      <c r="H291" s="21" t="n">
        <f aca="false">IF(AND($L291="Yes",ISERROR(SEARCH("%",$F291))),$G291*'Cover &amp; Legend'!$C$12,0)</f>
        <v>0</v>
      </c>
      <c r="I291" s="21" t="n">
        <f aca="false">IF(ISERROR(SEARCH("%",$F291)),$G291+$H291,0)</f>
        <v>0</v>
      </c>
      <c r="J291" s="21" t="n">
        <v>0</v>
      </c>
      <c r="K291" s="9" t="s">
        <v>792</v>
      </c>
      <c r="L291" s="18" t="s">
        <v>810</v>
      </c>
      <c r="M291" s="26" t="s">
        <v>185</v>
      </c>
      <c r="N291" s="23" t="s">
        <v>991</v>
      </c>
    </row>
    <row r="292" customFormat="false" ht="30" hidden="false" customHeight="true" outlineLevel="0" collapsed="false">
      <c r="A292" s="18" t="s">
        <v>992</v>
      </c>
      <c r="B292" s="9" t="s">
        <v>68</v>
      </c>
      <c r="C292" s="9" t="s">
        <v>984</v>
      </c>
      <c r="D292" s="9" t="s">
        <v>993</v>
      </c>
      <c r="E292" s="9" t="s">
        <v>219</v>
      </c>
      <c r="F292" s="9" t="s">
        <v>986</v>
      </c>
      <c r="G292" s="25" t="n">
        <v>750</v>
      </c>
      <c r="H292" s="21" t="n">
        <f aca="false">IF(AND($L292="Yes",ISERROR(SEARCH("%",$F292))),$G292*'Cover &amp; Legend'!$C$12,0)</f>
        <v>112.5</v>
      </c>
      <c r="I292" s="21" t="n">
        <f aca="false">IF(ISERROR(SEARCH("%",$F292)),$G292+$H292,0)</f>
        <v>862.5</v>
      </c>
      <c r="J292" s="21" t="n">
        <v>750</v>
      </c>
      <c r="K292" s="9" t="s">
        <v>274</v>
      </c>
      <c r="L292" s="18" t="s">
        <v>95</v>
      </c>
      <c r="M292" s="26" t="s">
        <v>185</v>
      </c>
      <c r="N292" s="23" t="s">
        <v>994</v>
      </c>
    </row>
    <row r="293" customFormat="false" ht="30" hidden="false" customHeight="true" outlineLevel="0" collapsed="false">
      <c r="A293" s="18" t="s">
        <v>995</v>
      </c>
      <c r="B293" s="19" t="s">
        <v>70</v>
      </c>
      <c r="C293" s="9" t="s">
        <v>996</v>
      </c>
      <c r="D293" s="9" t="s">
        <v>997</v>
      </c>
      <c r="E293" s="9" t="s">
        <v>219</v>
      </c>
      <c r="F293" s="9" t="s">
        <v>646</v>
      </c>
      <c r="G293" s="25" t="n">
        <v>100</v>
      </c>
      <c r="H293" s="21" t="n">
        <f aca="false">IF(AND($L293="Yes",ISERROR(SEARCH("%",$F293))),$G293*'Cover &amp; Legend'!$C$12,0)</f>
        <v>15</v>
      </c>
      <c r="I293" s="21" t="n">
        <f aca="false">IF(ISERROR(SEARCH("%",$F293)),$G293+$H293,0)</f>
        <v>115</v>
      </c>
      <c r="J293" s="21" t="n">
        <v>100</v>
      </c>
      <c r="K293" s="9" t="s">
        <v>274</v>
      </c>
      <c r="L293" s="18" t="s">
        <v>95</v>
      </c>
      <c r="M293" s="26" t="s">
        <v>185</v>
      </c>
      <c r="N293" s="23" t="s">
        <v>998</v>
      </c>
    </row>
    <row r="294" customFormat="false" ht="30" hidden="false" customHeight="true" outlineLevel="0" collapsed="false">
      <c r="A294" s="18" t="s">
        <v>999</v>
      </c>
      <c r="B294" s="9" t="s">
        <v>70</v>
      </c>
      <c r="C294" s="9" t="s">
        <v>996</v>
      </c>
      <c r="D294" s="9" t="s">
        <v>1000</v>
      </c>
      <c r="E294" s="9" t="s">
        <v>219</v>
      </c>
      <c r="F294" s="9" t="s">
        <v>646</v>
      </c>
      <c r="G294" s="25" t="n">
        <v>150</v>
      </c>
      <c r="H294" s="21" t="n">
        <f aca="false">IF(AND($L294="Yes",ISERROR(SEARCH("%",$F294))),$G294*'Cover &amp; Legend'!$C$12,0)</f>
        <v>22.5</v>
      </c>
      <c r="I294" s="21" t="n">
        <f aca="false">IF(ISERROR(SEARCH("%",$F294)),$G294+$H294,0)</f>
        <v>172.5</v>
      </c>
      <c r="J294" s="21" t="n">
        <v>150</v>
      </c>
      <c r="K294" s="9" t="s">
        <v>274</v>
      </c>
      <c r="L294" s="18" t="s">
        <v>95</v>
      </c>
      <c r="M294" s="26" t="s">
        <v>185</v>
      </c>
      <c r="N294" s="23" t="s">
        <v>421</v>
      </c>
    </row>
    <row r="295" customFormat="false" ht="30" hidden="false" customHeight="true" outlineLevel="0" collapsed="false">
      <c r="A295" s="18" t="s">
        <v>1001</v>
      </c>
      <c r="B295" s="9" t="s">
        <v>70</v>
      </c>
      <c r="C295" s="9" t="s">
        <v>996</v>
      </c>
      <c r="D295" s="9" t="s">
        <v>1002</v>
      </c>
      <c r="E295" s="9" t="s">
        <v>219</v>
      </c>
      <c r="F295" s="9" t="s">
        <v>1003</v>
      </c>
      <c r="G295" s="25" t="n">
        <v>500</v>
      </c>
      <c r="H295" s="21" t="n">
        <f aca="false">IF(AND($L295="Yes",ISERROR(SEARCH("%",$F295))),$G295*'Cover &amp; Legend'!$C$12,0)</f>
        <v>75</v>
      </c>
      <c r="I295" s="21" t="n">
        <f aca="false">IF(ISERROR(SEARCH("%",$F295)),$G295+$H295,0)</f>
        <v>575</v>
      </c>
      <c r="J295" s="21" t="n">
        <v>500</v>
      </c>
      <c r="K295" s="9" t="s">
        <v>274</v>
      </c>
      <c r="L295" s="18" t="s">
        <v>95</v>
      </c>
      <c r="M295" s="26" t="s">
        <v>185</v>
      </c>
      <c r="N295" s="23" t="s">
        <v>1004</v>
      </c>
    </row>
    <row r="296" customFormat="false" ht="30" hidden="false" customHeight="true" outlineLevel="0" collapsed="false">
      <c r="A296" s="18" t="s">
        <v>1005</v>
      </c>
      <c r="B296" s="9" t="s">
        <v>70</v>
      </c>
      <c r="C296" s="9" t="s">
        <v>996</v>
      </c>
      <c r="D296" s="9" t="s">
        <v>1006</v>
      </c>
      <c r="E296" s="9" t="s">
        <v>219</v>
      </c>
      <c r="F296" s="9" t="s">
        <v>1007</v>
      </c>
      <c r="G296" s="25" t="n">
        <v>300</v>
      </c>
      <c r="H296" s="21" t="n">
        <f aca="false">IF(AND($L296="Yes",ISERROR(SEARCH("%",$F296))),$G296*'Cover &amp; Legend'!$C$12,0)</f>
        <v>45</v>
      </c>
      <c r="I296" s="21" t="n">
        <f aca="false">IF(ISERROR(SEARCH("%",$F296)),$G296+$H296,0)</f>
        <v>345</v>
      </c>
      <c r="J296" s="21" t="n">
        <v>300</v>
      </c>
      <c r="K296" s="9" t="s">
        <v>274</v>
      </c>
      <c r="L296" s="18" t="s">
        <v>95</v>
      </c>
      <c r="M296" s="26" t="s">
        <v>185</v>
      </c>
      <c r="N296" s="23" t="s">
        <v>1008</v>
      </c>
    </row>
    <row r="297" customFormat="false" ht="30" hidden="false" customHeight="true" outlineLevel="0" collapsed="false">
      <c r="A297" s="18" t="s">
        <v>1009</v>
      </c>
      <c r="B297" s="9" t="s">
        <v>70</v>
      </c>
      <c r="C297" s="9" t="s">
        <v>1010</v>
      </c>
      <c r="D297" s="9" t="s">
        <v>1011</v>
      </c>
      <c r="E297" s="9" t="s">
        <v>219</v>
      </c>
      <c r="F297" s="9" t="s">
        <v>1012</v>
      </c>
      <c r="G297" s="25" t="n">
        <v>750</v>
      </c>
      <c r="H297" s="21" t="n">
        <f aca="false">IF(AND($L297="Yes",ISERROR(SEARCH("%",$F297))),$G297*'Cover &amp; Legend'!$C$12,0)</f>
        <v>112.5</v>
      </c>
      <c r="I297" s="21" t="n">
        <f aca="false">IF(ISERROR(SEARCH("%",$F297)),$G297+$H297,0)</f>
        <v>862.5</v>
      </c>
      <c r="J297" s="21" t="n">
        <v>750</v>
      </c>
      <c r="K297" s="9" t="s">
        <v>274</v>
      </c>
      <c r="L297" s="18" t="s">
        <v>95</v>
      </c>
      <c r="M297" s="26" t="s">
        <v>185</v>
      </c>
      <c r="N297" s="23" t="s">
        <v>1013</v>
      </c>
    </row>
    <row r="298" customFormat="false" ht="30" hidden="false" customHeight="true" outlineLevel="0" collapsed="false">
      <c r="A298" s="18" t="s">
        <v>1014</v>
      </c>
      <c r="B298" s="9" t="s">
        <v>70</v>
      </c>
      <c r="C298" s="9" t="s">
        <v>1010</v>
      </c>
      <c r="D298" s="9" t="s">
        <v>1015</v>
      </c>
      <c r="E298" s="9" t="s">
        <v>219</v>
      </c>
      <c r="F298" s="9" t="s">
        <v>1012</v>
      </c>
      <c r="G298" s="25" t="n">
        <v>1500</v>
      </c>
      <c r="H298" s="21" t="n">
        <f aca="false">IF(AND($L298="Yes",ISERROR(SEARCH("%",$F298))),$G298*'Cover &amp; Legend'!$C$12,0)</f>
        <v>225</v>
      </c>
      <c r="I298" s="21" t="n">
        <f aca="false">IF(ISERROR(SEARCH("%",$F298)),$G298+$H298,0)</f>
        <v>1725</v>
      </c>
      <c r="J298" s="21" t="n">
        <v>1500</v>
      </c>
      <c r="K298" s="9" t="s">
        <v>274</v>
      </c>
      <c r="L298" s="18" t="s">
        <v>95</v>
      </c>
      <c r="M298" s="26" t="s">
        <v>185</v>
      </c>
      <c r="N298" s="23" t="s">
        <v>421</v>
      </c>
    </row>
    <row r="299" customFormat="false" ht="30" hidden="false" customHeight="true" outlineLevel="0" collapsed="false">
      <c r="A299" s="18" t="s">
        <v>1016</v>
      </c>
      <c r="B299" s="9" t="s">
        <v>70</v>
      </c>
      <c r="C299" s="9" t="s">
        <v>1010</v>
      </c>
      <c r="D299" s="9" t="s">
        <v>1017</v>
      </c>
      <c r="E299" s="9" t="s">
        <v>219</v>
      </c>
      <c r="F299" s="9" t="s">
        <v>1012</v>
      </c>
      <c r="G299" s="25" t="n">
        <v>2500</v>
      </c>
      <c r="H299" s="21" t="n">
        <f aca="false">IF(AND($L299="Yes",ISERROR(SEARCH("%",$F299))),$G299*'Cover &amp; Legend'!$C$12,0)</f>
        <v>375</v>
      </c>
      <c r="I299" s="21" t="n">
        <f aca="false">IF(ISERROR(SEARCH("%",$F299)),$G299+$H299,0)</f>
        <v>2875</v>
      </c>
      <c r="J299" s="21" t="n">
        <v>2500</v>
      </c>
      <c r="K299" s="9" t="s">
        <v>274</v>
      </c>
      <c r="L299" s="18" t="s">
        <v>95</v>
      </c>
      <c r="M299" s="26" t="s">
        <v>185</v>
      </c>
      <c r="N299" s="23" t="s">
        <v>421</v>
      </c>
    </row>
    <row r="300" customFormat="false" ht="30" hidden="false" customHeight="true" outlineLevel="0" collapsed="false">
      <c r="A300" s="18" t="s">
        <v>1018</v>
      </c>
      <c r="B300" s="9" t="s">
        <v>70</v>
      </c>
      <c r="C300" s="9" t="s">
        <v>1010</v>
      </c>
      <c r="D300" s="9" t="s">
        <v>1019</v>
      </c>
      <c r="E300" s="9" t="s">
        <v>219</v>
      </c>
      <c r="F300" s="9" t="s">
        <v>1020</v>
      </c>
      <c r="G300" s="25" t="n">
        <v>1000</v>
      </c>
      <c r="H300" s="21" t="n">
        <f aca="false">IF(AND($L300="Yes",ISERROR(SEARCH("%",$F300))),$G300*'Cover &amp; Legend'!$C$12,0)</f>
        <v>150</v>
      </c>
      <c r="I300" s="21" t="n">
        <f aca="false">IF(ISERROR(SEARCH("%",$F300)),$G300+$H300,0)</f>
        <v>1150</v>
      </c>
      <c r="J300" s="21" t="n">
        <v>1000</v>
      </c>
      <c r="K300" s="9" t="s">
        <v>274</v>
      </c>
      <c r="L300" s="18" t="s">
        <v>95</v>
      </c>
      <c r="M300" s="26" t="s">
        <v>185</v>
      </c>
      <c r="N300" s="23" t="s">
        <v>421</v>
      </c>
    </row>
    <row r="301" customFormat="false" ht="30" hidden="false" customHeight="true" outlineLevel="0" collapsed="false">
      <c r="A301" s="18" t="s">
        <v>1021</v>
      </c>
      <c r="B301" s="9" t="s">
        <v>70</v>
      </c>
      <c r="C301" s="9" t="s">
        <v>1022</v>
      </c>
      <c r="D301" s="9" t="s">
        <v>1023</v>
      </c>
      <c r="E301" s="9" t="s">
        <v>1024</v>
      </c>
      <c r="F301" s="9" t="s">
        <v>642</v>
      </c>
      <c r="G301" s="25" t="n">
        <v>800</v>
      </c>
      <c r="H301" s="21" t="n">
        <f aca="false">IF(AND($L301="Yes",ISERROR(SEARCH("%",$F301))),$G301*'Cover &amp; Legend'!$C$12,0)</f>
        <v>120</v>
      </c>
      <c r="I301" s="21" t="n">
        <f aca="false">IF(ISERROR(SEARCH("%",$F301)),$G301+$H301,0)</f>
        <v>920</v>
      </c>
      <c r="J301" s="21" t="n">
        <v>800</v>
      </c>
      <c r="K301" s="9" t="s">
        <v>94</v>
      </c>
      <c r="L301" s="18" t="s">
        <v>95</v>
      </c>
      <c r="M301" s="26" t="s">
        <v>185</v>
      </c>
      <c r="N301" s="23" t="s">
        <v>1025</v>
      </c>
    </row>
    <row r="302" customFormat="false" ht="30" hidden="false" customHeight="true" outlineLevel="0" collapsed="false">
      <c r="A302" s="18" t="s">
        <v>1026</v>
      </c>
      <c r="B302" s="9" t="s">
        <v>70</v>
      </c>
      <c r="C302" s="9" t="s">
        <v>1022</v>
      </c>
      <c r="D302" s="9" t="s">
        <v>1027</v>
      </c>
      <c r="E302" s="9" t="s">
        <v>219</v>
      </c>
      <c r="F302" s="9" t="s">
        <v>1012</v>
      </c>
      <c r="G302" s="25" t="n">
        <v>1200</v>
      </c>
      <c r="H302" s="21" t="n">
        <f aca="false">IF(AND($L302="Yes",ISERROR(SEARCH("%",$F302))),$G302*'Cover &amp; Legend'!$C$12,0)</f>
        <v>180</v>
      </c>
      <c r="I302" s="21" t="n">
        <f aca="false">IF(ISERROR(SEARCH("%",$F302)),$G302+$H302,0)</f>
        <v>1380</v>
      </c>
      <c r="J302" s="21" t="n">
        <v>1200</v>
      </c>
      <c r="K302" s="9" t="s">
        <v>274</v>
      </c>
      <c r="L302" s="18" t="s">
        <v>95</v>
      </c>
      <c r="M302" s="26" t="s">
        <v>185</v>
      </c>
      <c r="N302" s="23" t="s">
        <v>421</v>
      </c>
    </row>
    <row r="303" customFormat="false" ht="30" hidden="false" customHeight="true" outlineLevel="0" collapsed="false">
      <c r="A303" s="18" t="s">
        <v>1028</v>
      </c>
      <c r="B303" s="9" t="s">
        <v>70</v>
      </c>
      <c r="C303" s="9" t="s">
        <v>1022</v>
      </c>
      <c r="D303" s="9" t="s">
        <v>1029</v>
      </c>
      <c r="E303" s="9" t="s">
        <v>1030</v>
      </c>
      <c r="F303" s="9" t="s">
        <v>906</v>
      </c>
      <c r="G303" s="27" t="n">
        <v>0</v>
      </c>
      <c r="H303" s="21" t="n">
        <f aca="false">IF(AND($L303="Yes",ISERROR(SEARCH("%",$F303))),$G303*'Cover &amp; Legend'!$C$12,0)</f>
        <v>0</v>
      </c>
      <c r="I303" s="21" t="n">
        <f aca="false">IF(ISERROR(SEARCH("%",$F303)),$G303+$H303,0)</f>
        <v>0</v>
      </c>
      <c r="J303" s="21" t="n">
        <v>1500</v>
      </c>
      <c r="K303" s="9" t="s">
        <v>274</v>
      </c>
      <c r="L303" s="18" t="s">
        <v>95</v>
      </c>
      <c r="M303" s="26" t="s">
        <v>185</v>
      </c>
      <c r="N303" s="23" t="s">
        <v>1031</v>
      </c>
    </row>
    <row r="304" customFormat="false" ht="30" hidden="false" customHeight="true" outlineLevel="0" collapsed="false">
      <c r="A304" s="18" t="s">
        <v>1032</v>
      </c>
      <c r="B304" s="9" t="s">
        <v>70</v>
      </c>
      <c r="C304" s="9" t="s">
        <v>1022</v>
      </c>
      <c r="D304" s="9" t="s">
        <v>1033</v>
      </c>
      <c r="E304" s="9" t="s">
        <v>1034</v>
      </c>
      <c r="F304" s="9" t="s">
        <v>1035</v>
      </c>
      <c r="G304" s="25" t="n">
        <v>7500</v>
      </c>
      <c r="H304" s="21" t="n">
        <f aca="false">IF(AND($L304="Yes",ISERROR(SEARCH("%",$F304))),$G304*'Cover &amp; Legend'!$C$12,0)</f>
        <v>1125</v>
      </c>
      <c r="I304" s="21" t="n">
        <f aca="false">IF(ISERROR(SEARCH("%",$F304)),$G304+$H304,0)</f>
        <v>8625</v>
      </c>
      <c r="J304" s="21" t="n">
        <v>7500</v>
      </c>
      <c r="K304" s="9" t="s">
        <v>94</v>
      </c>
      <c r="L304" s="18" t="s">
        <v>95</v>
      </c>
      <c r="M304" s="26" t="s">
        <v>185</v>
      </c>
      <c r="N304" s="23" t="s">
        <v>421</v>
      </c>
    </row>
    <row r="305" customFormat="false" ht="30" hidden="false" customHeight="true" outlineLevel="0" collapsed="false">
      <c r="A305" s="18" t="s">
        <v>1036</v>
      </c>
      <c r="B305" s="9" t="s">
        <v>70</v>
      </c>
      <c r="C305" s="9" t="s">
        <v>1022</v>
      </c>
      <c r="D305" s="9" t="s">
        <v>1037</v>
      </c>
      <c r="E305" s="9" t="s">
        <v>182</v>
      </c>
      <c r="F305" s="9" t="s">
        <v>1038</v>
      </c>
      <c r="G305" s="25" t="n">
        <v>0</v>
      </c>
      <c r="H305" s="21" t="n">
        <f aca="false">IF(AND($L305="Yes",ISERROR(SEARCH("%",$F305))),$G305*'Cover &amp; Legend'!$C$12,0)</f>
        <v>0</v>
      </c>
      <c r="I305" s="21" t="n">
        <f aca="false">IF(ISERROR(SEARCH("%",$F305)),$G305+$H305,0)</f>
        <v>0</v>
      </c>
      <c r="J305" s="21" t="n">
        <v>0</v>
      </c>
      <c r="K305" s="9" t="s">
        <v>274</v>
      </c>
      <c r="L305" s="18" t="s">
        <v>95</v>
      </c>
      <c r="M305" s="26" t="s">
        <v>185</v>
      </c>
      <c r="N305" s="23" t="s">
        <v>1039</v>
      </c>
    </row>
    <row r="306" customFormat="false" ht="30" hidden="false" customHeight="true" outlineLevel="0" collapsed="false">
      <c r="A306" s="18" t="s">
        <v>1040</v>
      </c>
      <c r="B306" s="9" t="s">
        <v>70</v>
      </c>
      <c r="C306" s="9" t="s">
        <v>1041</v>
      </c>
      <c r="D306" s="9" t="s">
        <v>1042</v>
      </c>
      <c r="E306" s="9" t="s">
        <v>219</v>
      </c>
      <c r="F306" s="9" t="s">
        <v>876</v>
      </c>
      <c r="G306" s="27" t="n">
        <v>0.1</v>
      </c>
      <c r="H306" s="21" t="n">
        <f aca="false">IF(AND($L306="Yes",ISERROR(SEARCH("%",$F306))),$G306*'Cover &amp; Legend'!$C$12,0)</f>
        <v>0</v>
      </c>
      <c r="I306" s="21" t="n">
        <f aca="false">IF(ISERROR(SEARCH("%",$F306)),$G306+$H306,0)</f>
        <v>0</v>
      </c>
      <c r="J306" s="21" t="n">
        <v>150</v>
      </c>
      <c r="K306" s="9" t="s">
        <v>274</v>
      </c>
      <c r="L306" s="18" t="s">
        <v>95</v>
      </c>
      <c r="M306" s="26" t="s">
        <v>185</v>
      </c>
      <c r="N306" s="23" t="s">
        <v>1043</v>
      </c>
    </row>
    <row r="307" customFormat="false" ht="30" hidden="false" customHeight="true" outlineLevel="0" collapsed="false">
      <c r="A307" s="18" t="s">
        <v>1044</v>
      </c>
      <c r="B307" s="9" t="s">
        <v>70</v>
      </c>
      <c r="C307" s="9" t="s">
        <v>1041</v>
      </c>
      <c r="D307" s="9" t="s">
        <v>1045</v>
      </c>
      <c r="E307" s="9" t="s">
        <v>219</v>
      </c>
      <c r="F307" s="9" t="s">
        <v>267</v>
      </c>
      <c r="G307" s="25" t="n">
        <v>5000</v>
      </c>
      <c r="H307" s="21" t="n">
        <f aca="false">IF(AND($L307="Yes",ISERROR(SEARCH("%",$F307))),$G307*'Cover &amp; Legend'!$C$12,0)</f>
        <v>750</v>
      </c>
      <c r="I307" s="21" t="n">
        <f aca="false">IF(ISERROR(SEARCH("%",$F307)),$G307+$H307,0)</f>
        <v>5750</v>
      </c>
      <c r="J307" s="21" t="n">
        <v>5000</v>
      </c>
      <c r="K307" s="9" t="s">
        <v>94</v>
      </c>
      <c r="L307" s="18" t="s">
        <v>95</v>
      </c>
      <c r="M307" s="26" t="s">
        <v>185</v>
      </c>
      <c r="N307" s="23" t="s">
        <v>1046</v>
      </c>
    </row>
    <row r="308" customFormat="false" ht="30" hidden="false" customHeight="true" outlineLevel="0" collapsed="false">
      <c r="A308" s="18" t="s">
        <v>1047</v>
      </c>
      <c r="B308" s="9" t="s">
        <v>70</v>
      </c>
      <c r="C308" s="9" t="s">
        <v>1041</v>
      </c>
      <c r="D308" s="9" t="s">
        <v>1048</v>
      </c>
      <c r="E308" s="9" t="s">
        <v>219</v>
      </c>
      <c r="F308" s="9" t="s">
        <v>1049</v>
      </c>
      <c r="G308" s="27" t="n">
        <v>0.015</v>
      </c>
      <c r="H308" s="21" t="n">
        <f aca="false">IF(AND($L308="Yes",ISERROR(SEARCH("%",$F308))),$G308*'Cover &amp; Legend'!$C$12,0)</f>
        <v>0</v>
      </c>
      <c r="I308" s="21" t="n">
        <f aca="false">IF(ISERROR(SEARCH("%",$F308)),$G308+$H308,0)</f>
        <v>0</v>
      </c>
      <c r="J308" s="21" t="n">
        <v>0</v>
      </c>
      <c r="K308" s="9" t="s">
        <v>94</v>
      </c>
      <c r="L308" s="18" t="s">
        <v>810</v>
      </c>
      <c r="M308" s="26" t="s">
        <v>185</v>
      </c>
      <c r="N308" s="23" t="s">
        <v>1050</v>
      </c>
    </row>
    <row r="309" customFormat="false" ht="30" hidden="false" customHeight="true" outlineLevel="0" collapsed="false">
      <c r="A309" s="18" t="s">
        <v>1051</v>
      </c>
      <c r="B309" s="9" t="s">
        <v>70</v>
      </c>
      <c r="C309" s="9" t="s">
        <v>1041</v>
      </c>
      <c r="D309" s="9" t="s">
        <v>1052</v>
      </c>
      <c r="E309" s="9" t="s">
        <v>1053</v>
      </c>
      <c r="F309" s="9" t="s">
        <v>1054</v>
      </c>
      <c r="G309" s="27" t="n">
        <v>0</v>
      </c>
      <c r="H309" s="21" t="n">
        <f aca="false">IF(AND($L309="Yes",ISERROR(SEARCH("%",$F309))),$G309*'Cover &amp; Legend'!$C$12,0)</f>
        <v>0</v>
      </c>
      <c r="I309" s="21" t="n">
        <f aca="false">IF(ISERROR(SEARCH("%",$F309)),$G309+$H309,0)</f>
        <v>0</v>
      </c>
      <c r="J309" s="21" t="n">
        <v>0</v>
      </c>
      <c r="K309" s="9" t="s">
        <v>274</v>
      </c>
      <c r="L309" s="18" t="s">
        <v>95</v>
      </c>
      <c r="M309" s="26" t="s">
        <v>185</v>
      </c>
      <c r="N309" s="23" t="s">
        <v>1055</v>
      </c>
    </row>
    <row r="310" customFormat="false" ht="30" hidden="false" customHeight="true" outlineLevel="0" collapsed="false">
      <c r="A310" s="18" t="s">
        <v>1056</v>
      </c>
      <c r="B310" s="9" t="s">
        <v>70</v>
      </c>
      <c r="C310" s="9" t="s">
        <v>1041</v>
      </c>
      <c r="D310" s="9" t="s">
        <v>1057</v>
      </c>
      <c r="E310" s="9" t="s">
        <v>219</v>
      </c>
      <c r="F310" s="9" t="s">
        <v>1058</v>
      </c>
      <c r="G310" s="27" t="n">
        <v>0.05</v>
      </c>
      <c r="H310" s="21" t="n">
        <f aca="false">IF(AND($L310="Yes",ISERROR(SEARCH("%",$F310))),$G310*'Cover &amp; Legend'!$C$12,0)</f>
        <v>0</v>
      </c>
      <c r="I310" s="21" t="n">
        <f aca="false">IF(ISERROR(SEARCH("%",$F310)),$G310+$H310,0)</f>
        <v>0</v>
      </c>
      <c r="J310" s="21" t="n">
        <v>0</v>
      </c>
      <c r="K310" s="9" t="s">
        <v>840</v>
      </c>
      <c r="L310" s="18" t="s">
        <v>810</v>
      </c>
      <c r="M310" s="26" t="s">
        <v>185</v>
      </c>
      <c r="N310" s="23" t="s">
        <v>1059</v>
      </c>
    </row>
    <row r="312" customFormat="false" ht="15" hidden="false" customHeight="false" outlineLevel="0" collapsed="false">
      <c r="D312" s="29" t="s">
        <v>1060</v>
      </c>
      <c r="G312" s="30" t="n">
        <f aca="false">COUNTA($A$8:$A$310)</f>
        <v>303</v>
      </c>
    </row>
    <row r="313" customFormat="false" ht="15" hidden="false" customHeight="false" outlineLevel="0" collapsed="false">
      <c r="D313" s="31" t="s">
        <v>1061</v>
      </c>
      <c r="G313" s="32" t="n">
        <f aca="false">COUNTIF($M$8:$M$310,"Client Provided")</f>
        <v>78</v>
      </c>
    </row>
    <row r="314" customFormat="false" ht="15" hidden="false" customHeight="false" outlineLevel="0" collapsed="false">
      <c r="D314" s="31" t="s">
        <v>111</v>
      </c>
      <c r="G314" s="32" t="n">
        <f aca="false">COUNTIF($M$8:$M$310,"Corrected")</f>
        <v>22</v>
      </c>
    </row>
    <row r="315" customFormat="false" ht="15" hidden="false" customHeight="false" outlineLevel="0" collapsed="false">
      <c r="D315" s="31" t="s">
        <v>185</v>
      </c>
      <c r="G315" s="32" t="n">
        <f aca="false">COUNTIF($M$8:$M$310,"New - Confirm")</f>
        <v>203</v>
      </c>
    </row>
  </sheetData>
  <autoFilter ref="A7:N310"/>
  <mergeCells count="3">
    <mergeCell ref="A1:N1"/>
    <mergeCell ref="A2:N2"/>
    <mergeCell ref="A4:N4"/>
  </mergeCells>
  <dataValidations count="1">
    <dataValidation allowBlank="true" errorStyle="stop" operator="between" showDropDown="false" showErrorMessage="false" showInputMessage="false" sqref="M8:M310" type="list">
      <formula1>"Client Provided,Corrected,New - Confirm"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6"/>
    <col collapsed="false" customWidth="true" hidden="false" outlineLevel="0" max="3" min="3" style="0" width="18"/>
    <col collapsed="false" customWidth="true" hidden="false" outlineLevel="0" max="5" min="4" style="0" width="16"/>
    <col collapsed="false" customWidth="true" hidden="false" outlineLevel="0" max="6" min="6" style="0" width="15"/>
    <col collapsed="false" customWidth="true" hidden="false" outlineLevel="0" max="7" min="7" style="0" width="44"/>
    <col collapsed="false" customWidth="true" hidden="false" outlineLevel="0" max="8" min="8" style="0" width="34"/>
  </cols>
  <sheetData>
    <row r="1" customFormat="false" ht="27.75" hidden="false" customHeight="true" outlineLevel="0" collapsed="false">
      <c r="A1" s="1" t="s">
        <v>1062</v>
      </c>
      <c r="B1" s="1"/>
      <c r="C1" s="1"/>
      <c r="D1" s="1"/>
      <c r="E1" s="1"/>
      <c r="F1" s="1"/>
      <c r="G1" s="1"/>
      <c r="H1" s="1"/>
    </row>
    <row r="2" customFormat="false" ht="30" hidden="false" customHeight="true" outlineLevel="0" collapsed="false">
      <c r="A2" s="16" t="s">
        <v>1063</v>
      </c>
      <c r="B2" s="16"/>
      <c r="C2" s="16"/>
      <c r="D2" s="16"/>
      <c r="E2" s="16"/>
      <c r="F2" s="16"/>
      <c r="G2" s="16"/>
      <c r="H2" s="16"/>
    </row>
    <row r="4" customFormat="false" ht="39.75" hidden="false" customHeight="true" outlineLevel="0" collapsed="false">
      <c r="A4" s="7" t="s">
        <v>1064</v>
      </c>
      <c r="B4" s="7" t="s">
        <v>1065</v>
      </c>
      <c r="C4" s="7" t="s">
        <v>1066</v>
      </c>
      <c r="D4" s="7" t="s">
        <v>1067</v>
      </c>
      <c r="E4" s="7" t="s">
        <v>1068</v>
      </c>
      <c r="F4" s="7" t="s">
        <v>1069</v>
      </c>
      <c r="G4" s="7" t="s">
        <v>1070</v>
      </c>
      <c r="H4" s="7" t="s">
        <v>87</v>
      </c>
    </row>
    <row r="5" customFormat="false" ht="25.5" hidden="false" customHeight="true" outlineLevel="0" collapsed="false">
      <c r="A5" s="9" t="s">
        <v>1071</v>
      </c>
      <c r="B5" s="20" t="n">
        <v>45</v>
      </c>
      <c r="C5" s="20" t="n">
        <v>45</v>
      </c>
      <c r="D5" s="20" t="n">
        <v>2</v>
      </c>
      <c r="E5" s="20" t="n">
        <f aca="false">$D5*30</f>
        <v>60</v>
      </c>
      <c r="F5" s="28" t="n">
        <f aca="false">IFERROR($E5/$C5-1,"")</f>
        <v>0.333333333333333</v>
      </c>
      <c r="G5" s="9" t="s">
        <v>1072</v>
      </c>
      <c r="H5" s="22" t="s">
        <v>96</v>
      </c>
    </row>
    <row r="6" customFormat="false" ht="25.5" hidden="false" customHeight="true" outlineLevel="0" collapsed="false">
      <c r="A6" s="9" t="s">
        <v>1073</v>
      </c>
      <c r="B6" s="20" t="n">
        <v>65</v>
      </c>
      <c r="C6" s="20" t="n">
        <v>65</v>
      </c>
      <c r="D6" s="20" t="n">
        <v>4</v>
      </c>
      <c r="E6" s="20" t="n">
        <f aca="false">$D6*30</f>
        <v>120</v>
      </c>
      <c r="F6" s="28" t="n">
        <f aca="false">IFERROR($E6/$C6-1,"")</f>
        <v>0.846153846153846</v>
      </c>
      <c r="G6" s="9" t="s">
        <v>1072</v>
      </c>
      <c r="H6" s="24" t="s">
        <v>111</v>
      </c>
    </row>
    <row r="7" customFormat="false" ht="25.5" hidden="false" customHeight="true" outlineLevel="0" collapsed="false">
      <c r="A7" s="9" t="s">
        <v>1074</v>
      </c>
      <c r="B7" s="20" t="n">
        <v>75</v>
      </c>
      <c r="C7" s="20" t="n">
        <v>75</v>
      </c>
      <c r="D7" s="20" t="n">
        <v>4</v>
      </c>
      <c r="E7" s="20" t="n">
        <f aca="false">$D7*30</f>
        <v>120</v>
      </c>
      <c r="F7" s="28" t="n">
        <f aca="false">IFERROR($E7/$C7-1,"")</f>
        <v>0.6</v>
      </c>
      <c r="G7" s="9" t="s">
        <v>1075</v>
      </c>
      <c r="H7" s="22" t="s">
        <v>96</v>
      </c>
    </row>
    <row r="8" customFormat="false" ht="25.5" hidden="false" customHeight="true" outlineLevel="0" collapsed="false">
      <c r="A8" s="9" t="s">
        <v>1076</v>
      </c>
      <c r="B8" s="20" t="n">
        <v>65</v>
      </c>
      <c r="C8" s="20" t="n">
        <v>65</v>
      </c>
      <c r="D8" s="20" t="n">
        <v>3.5</v>
      </c>
      <c r="E8" s="20" t="n">
        <f aca="false">$D8*30</f>
        <v>105</v>
      </c>
      <c r="F8" s="28" t="n">
        <f aca="false">IFERROR($E8/$C8-1,"")</f>
        <v>0.615384615384615</v>
      </c>
      <c r="G8" s="9" t="s">
        <v>1075</v>
      </c>
      <c r="H8" s="22" t="s">
        <v>96</v>
      </c>
    </row>
    <row r="9" customFormat="false" ht="25.5" hidden="false" customHeight="true" outlineLevel="0" collapsed="false">
      <c r="A9" s="9" t="s">
        <v>1077</v>
      </c>
      <c r="B9" s="20" t="n">
        <v>95</v>
      </c>
      <c r="C9" s="20" t="n">
        <v>95</v>
      </c>
      <c r="D9" s="20" t="n">
        <v>5</v>
      </c>
      <c r="E9" s="20" t="n">
        <f aca="false">$D9*30</f>
        <v>150</v>
      </c>
      <c r="F9" s="28" t="n">
        <f aca="false">IFERROR($E9/$C9-1,"")</f>
        <v>0.578947368421053</v>
      </c>
      <c r="G9" s="9" t="s">
        <v>1078</v>
      </c>
      <c r="H9" s="22" t="s">
        <v>96</v>
      </c>
    </row>
    <row r="10" customFormat="false" ht="25.5" hidden="false" customHeight="true" outlineLevel="0" collapsed="false">
      <c r="A10" s="9" t="s">
        <v>1079</v>
      </c>
      <c r="B10" s="20" t="n">
        <v>95</v>
      </c>
      <c r="C10" s="20" t="n">
        <v>95</v>
      </c>
      <c r="D10" s="20" t="n">
        <v>5</v>
      </c>
      <c r="E10" s="20" t="n">
        <f aca="false">$D10*30</f>
        <v>150</v>
      </c>
      <c r="F10" s="28" t="n">
        <f aca="false">IFERROR($E10/$C10-1,"")</f>
        <v>0.578947368421053</v>
      </c>
      <c r="G10" s="9" t="s">
        <v>1080</v>
      </c>
      <c r="H10" s="22" t="s">
        <v>96</v>
      </c>
    </row>
    <row r="11" customFormat="false" ht="25.5" hidden="false" customHeight="true" outlineLevel="0" collapsed="false">
      <c r="A11" s="9" t="s">
        <v>1081</v>
      </c>
      <c r="B11" s="20" t="n">
        <v>95</v>
      </c>
      <c r="C11" s="20" t="n">
        <v>95</v>
      </c>
      <c r="D11" s="20" t="n">
        <v>5</v>
      </c>
      <c r="E11" s="20" t="n">
        <f aca="false">$D11*30</f>
        <v>150</v>
      </c>
      <c r="F11" s="28" t="n">
        <f aca="false">IFERROR($E11/$C11-1,"")</f>
        <v>0.578947368421053</v>
      </c>
      <c r="G11" s="9" t="s">
        <v>1082</v>
      </c>
      <c r="H11" s="22" t="s">
        <v>96</v>
      </c>
    </row>
    <row r="12" customFormat="false" ht="25.5" hidden="false" customHeight="true" outlineLevel="0" collapsed="false">
      <c r="A12" s="9" t="s">
        <v>1083</v>
      </c>
      <c r="B12" s="20" t="n">
        <v>95</v>
      </c>
      <c r="C12" s="20" t="n">
        <v>95</v>
      </c>
      <c r="D12" s="20" t="n">
        <v>5</v>
      </c>
      <c r="E12" s="20" t="n">
        <f aca="false">$D12*30</f>
        <v>150</v>
      </c>
      <c r="F12" s="28" t="n">
        <f aca="false">IFERROR($E12/$C12-1,"")</f>
        <v>0.578947368421053</v>
      </c>
      <c r="G12" s="9" t="s">
        <v>1084</v>
      </c>
      <c r="H12" s="24" t="s">
        <v>111</v>
      </c>
    </row>
    <row r="13" customFormat="false" ht="25.5" hidden="false" customHeight="true" outlineLevel="0" collapsed="false">
      <c r="A13" s="9" t="s">
        <v>1085</v>
      </c>
      <c r="B13" s="20" t="n">
        <v>180</v>
      </c>
      <c r="C13" s="20" t="n">
        <v>180</v>
      </c>
      <c r="D13" s="20" t="n">
        <v>9</v>
      </c>
      <c r="E13" s="20" t="n">
        <f aca="false">$D13*30</f>
        <v>270</v>
      </c>
      <c r="F13" s="28" t="n">
        <f aca="false">IFERROR($E13/$C13-1,"")</f>
        <v>0.5</v>
      </c>
      <c r="G13" s="9" t="s">
        <v>1084</v>
      </c>
      <c r="H13" s="24" t="s">
        <v>111</v>
      </c>
    </row>
    <row r="14" customFormat="false" ht="25.5" hidden="false" customHeight="true" outlineLevel="0" collapsed="false">
      <c r="A14" s="9" t="s">
        <v>1086</v>
      </c>
      <c r="B14" s="20" t="n">
        <v>65</v>
      </c>
      <c r="C14" s="20" t="n">
        <v>65</v>
      </c>
      <c r="D14" s="20" t="n">
        <v>3.5</v>
      </c>
      <c r="E14" s="20" t="n">
        <f aca="false">$D14*30</f>
        <v>105</v>
      </c>
      <c r="F14" s="28" t="n">
        <f aca="false">IFERROR($E14/$C14-1,"")</f>
        <v>0.615384615384615</v>
      </c>
      <c r="G14" s="9" t="s">
        <v>1087</v>
      </c>
      <c r="H14" s="24" t="s">
        <v>111</v>
      </c>
    </row>
    <row r="15" customFormat="false" ht="25.5" hidden="false" customHeight="true" outlineLevel="0" collapsed="false">
      <c r="A15" s="9" t="s">
        <v>1088</v>
      </c>
      <c r="B15" s="25" t="n">
        <v>165</v>
      </c>
      <c r="C15" s="25" t="n">
        <v>165</v>
      </c>
      <c r="D15" s="25" t="n">
        <v>9</v>
      </c>
      <c r="E15" s="25" t="n">
        <f aca="false">$D15*30</f>
        <v>270</v>
      </c>
      <c r="F15" s="27" t="n">
        <f aca="false">IFERROR($E15/$C15-1,"")</f>
        <v>0.636363636363637</v>
      </c>
      <c r="G15" s="9" t="s">
        <v>1089</v>
      </c>
      <c r="H15" s="26" t="s">
        <v>185</v>
      </c>
    </row>
    <row r="16" customFormat="false" ht="25.5" hidden="false" customHeight="true" outlineLevel="0" collapsed="false">
      <c r="A16" s="9" t="s">
        <v>1090</v>
      </c>
      <c r="B16" s="25" t="n">
        <v>240</v>
      </c>
      <c r="C16" s="25" t="n">
        <v>240</v>
      </c>
      <c r="D16" s="25" t="n">
        <v>13</v>
      </c>
      <c r="E16" s="25" t="n">
        <f aca="false">$D16*30</f>
        <v>390</v>
      </c>
      <c r="F16" s="27" t="n">
        <f aca="false">IFERROR($E16/$C16-1,"")</f>
        <v>0.625</v>
      </c>
      <c r="G16" s="9" t="s">
        <v>1089</v>
      </c>
      <c r="H16" s="26" t="s">
        <v>185</v>
      </c>
    </row>
    <row r="17" customFormat="false" ht="25.5" hidden="false" customHeight="true" outlineLevel="0" collapsed="false">
      <c r="A17" s="9" t="s">
        <v>1091</v>
      </c>
      <c r="B17" s="25" t="n">
        <v>320</v>
      </c>
      <c r="C17" s="25" t="n">
        <v>320</v>
      </c>
      <c r="D17" s="25" t="n">
        <v>17</v>
      </c>
      <c r="E17" s="25" t="n">
        <f aca="false">$D17*30</f>
        <v>510</v>
      </c>
      <c r="F17" s="27" t="n">
        <f aca="false">IFERROR($E17/$C17-1,"")</f>
        <v>0.59375</v>
      </c>
      <c r="G17" s="9" t="s">
        <v>1089</v>
      </c>
      <c r="H17" s="26" t="s">
        <v>185</v>
      </c>
    </row>
    <row r="18" customFormat="false" ht="25.5" hidden="false" customHeight="true" outlineLevel="0" collapsed="false">
      <c r="A18" s="9" t="s">
        <v>1092</v>
      </c>
      <c r="B18" s="25" t="n">
        <v>130</v>
      </c>
      <c r="C18" s="25" t="n">
        <v>130</v>
      </c>
      <c r="D18" s="25" t="n">
        <v>7</v>
      </c>
      <c r="E18" s="25" t="n">
        <f aca="false">$D18*30</f>
        <v>210</v>
      </c>
      <c r="F18" s="27" t="n">
        <f aca="false">IFERROR($E18/$C18-1,"")</f>
        <v>0.615384615384615</v>
      </c>
      <c r="G18" s="9" t="s">
        <v>1093</v>
      </c>
      <c r="H18" s="26" t="s">
        <v>185</v>
      </c>
    </row>
    <row r="19" customFormat="false" ht="25.5" hidden="false" customHeight="true" outlineLevel="0" collapsed="false">
      <c r="A19" s="9" t="s">
        <v>1094</v>
      </c>
      <c r="B19" s="25" t="n">
        <v>165</v>
      </c>
      <c r="C19" s="25" t="n">
        <v>165</v>
      </c>
      <c r="D19" s="25" t="n">
        <v>9</v>
      </c>
      <c r="E19" s="25" t="n">
        <f aca="false">$D19*30</f>
        <v>270</v>
      </c>
      <c r="F19" s="27" t="n">
        <f aca="false">IFERROR($E19/$C19-1,"")</f>
        <v>0.636363636363637</v>
      </c>
      <c r="G19" s="9" t="s">
        <v>1095</v>
      </c>
      <c r="H19" s="26" t="s">
        <v>185</v>
      </c>
    </row>
    <row r="20" customFormat="false" ht="25.5" hidden="false" customHeight="true" outlineLevel="0" collapsed="false">
      <c r="A20" s="9" t="s">
        <v>1096</v>
      </c>
      <c r="B20" s="25" t="n">
        <v>75</v>
      </c>
      <c r="C20" s="25" t="n">
        <v>75</v>
      </c>
      <c r="D20" s="25" t="n">
        <v>4</v>
      </c>
      <c r="E20" s="25" t="n">
        <f aca="false">$D20*30</f>
        <v>120</v>
      </c>
      <c r="F20" s="27" t="n">
        <f aca="false">IFERROR($E20/$C20-1,"")</f>
        <v>0.6</v>
      </c>
      <c r="G20" s="9" t="s">
        <v>1097</v>
      </c>
      <c r="H20" s="26" t="s">
        <v>185</v>
      </c>
    </row>
    <row r="21" customFormat="false" ht="25.5" hidden="false" customHeight="true" outlineLevel="0" collapsed="false">
      <c r="A21" s="9" t="s">
        <v>1098</v>
      </c>
      <c r="B21" s="25" t="n">
        <v>60</v>
      </c>
      <c r="C21" s="25" t="n">
        <v>60</v>
      </c>
      <c r="D21" s="25" t="n">
        <v>3</v>
      </c>
      <c r="E21" s="25" t="n">
        <f aca="false">$D21*30</f>
        <v>90</v>
      </c>
      <c r="F21" s="27" t="n">
        <f aca="false">IFERROR($E21/$C21-1,"")</f>
        <v>0.5</v>
      </c>
      <c r="G21" s="9" t="s">
        <v>1072</v>
      </c>
      <c r="H21" s="26" t="s">
        <v>185</v>
      </c>
    </row>
    <row r="22" customFormat="false" ht="25.5" hidden="false" customHeight="true" outlineLevel="0" collapsed="false">
      <c r="A22" s="9" t="s">
        <v>1099</v>
      </c>
      <c r="B22" s="25" t="n">
        <v>32</v>
      </c>
      <c r="C22" s="25" t="n">
        <v>32</v>
      </c>
      <c r="D22" s="25" t="n">
        <v>2</v>
      </c>
      <c r="E22" s="25" t="n">
        <f aca="false">$D22*30</f>
        <v>60</v>
      </c>
      <c r="F22" s="27" t="n">
        <f aca="false">IFERROR($E22/$C22-1,"")</f>
        <v>0.875</v>
      </c>
      <c r="G22" s="9" t="s">
        <v>1072</v>
      </c>
      <c r="H22" s="26" t="s">
        <v>185</v>
      </c>
    </row>
    <row r="23" customFormat="false" ht="25.5" hidden="false" customHeight="true" outlineLevel="0" collapsed="false">
      <c r="A23" s="9" t="s">
        <v>1100</v>
      </c>
      <c r="B23" s="25" t="n">
        <v>20</v>
      </c>
      <c r="C23" s="25" t="n">
        <v>20</v>
      </c>
      <c r="D23" s="25" t="n">
        <v>1.2</v>
      </c>
      <c r="E23" s="25" t="n">
        <f aca="false">$D23*30</f>
        <v>36</v>
      </c>
      <c r="F23" s="27" t="n">
        <f aca="false">IFERROR($E23/$C23-1,"")</f>
        <v>0.8</v>
      </c>
      <c r="G23" s="9" t="s">
        <v>1101</v>
      </c>
      <c r="H23" s="26" t="s">
        <v>185</v>
      </c>
    </row>
    <row r="24" customFormat="false" ht="25.5" hidden="false" customHeight="true" outlineLevel="0" collapsed="false">
      <c r="A24" s="9" t="s">
        <v>1102</v>
      </c>
      <c r="B24" s="25" t="n">
        <v>30</v>
      </c>
      <c r="C24" s="25" t="n">
        <v>30</v>
      </c>
      <c r="D24" s="25" t="n">
        <v>1.8</v>
      </c>
      <c r="E24" s="25" t="n">
        <f aca="false">$D24*30</f>
        <v>54</v>
      </c>
      <c r="F24" s="27" t="n">
        <f aca="false">IFERROR($E24/$C24-1,"")</f>
        <v>0.8</v>
      </c>
      <c r="G24" s="9" t="s">
        <v>1072</v>
      </c>
      <c r="H24" s="26" t="s">
        <v>185</v>
      </c>
    </row>
    <row r="26" customFormat="false" ht="15" hidden="false" customHeight="false" outlineLevel="0" collapsed="false">
      <c r="A26" s="33" t="s">
        <v>1103</v>
      </c>
      <c r="B26" s="33"/>
      <c r="C26" s="33"/>
      <c r="D26" s="33"/>
      <c r="E26" s="33"/>
      <c r="F26" s="33"/>
      <c r="G26" s="33"/>
      <c r="H26" s="33"/>
    </row>
    <row r="27" customFormat="false" ht="31.5" hidden="false" customHeight="true" outlineLevel="0" collapsed="false">
      <c r="A27" s="34" t="s">
        <v>1104</v>
      </c>
      <c r="B27" s="9" t="s">
        <v>1105</v>
      </c>
      <c r="C27" s="9"/>
      <c r="D27" s="9"/>
      <c r="E27" s="9"/>
      <c r="F27" s="9"/>
      <c r="G27" s="9"/>
      <c r="H27" s="9"/>
    </row>
    <row r="28" customFormat="false" ht="31.5" hidden="false" customHeight="true" outlineLevel="0" collapsed="false">
      <c r="A28" s="34" t="s">
        <v>1106</v>
      </c>
      <c r="B28" s="9" t="s">
        <v>1107</v>
      </c>
      <c r="C28" s="9"/>
      <c r="D28" s="9"/>
      <c r="E28" s="9"/>
      <c r="F28" s="9"/>
      <c r="G28" s="9"/>
      <c r="H28" s="9"/>
    </row>
    <row r="29" customFormat="false" ht="31.5" hidden="false" customHeight="true" outlineLevel="0" collapsed="false">
      <c r="A29" s="34" t="s">
        <v>1108</v>
      </c>
      <c r="B29" s="9" t="s">
        <v>1109</v>
      </c>
      <c r="C29" s="9"/>
      <c r="D29" s="9"/>
      <c r="E29" s="9"/>
      <c r="F29" s="9"/>
      <c r="G29" s="9"/>
      <c r="H29" s="9"/>
    </row>
    <row r="30" customFormat="false" ht="31.5" hidden="false" customHeight="true" outlineLevel="0" collapsed="false">
      <c r="A30" s="34" t="s">
        <v>1110</v>
      </c>
      <c r="B30" s="9" t="s">
        <v>1111</v>
      </c>
      <c r="C30" s="9"/>
      <c r="D30" s="9"/>
      <c r="E30" s="9"/>
      <c r="F30" s="9"/>
      <c r="G30" s="9"/>
      <c r="H30" s="9"/>
    </row>
    <row r="31" customFormat="false" ht="31.5" hidden="false" customHeight="true" outlineLevel="0" collapsed="false">
      <c r="A31" s="34" t="s">
        <v>1112</v>
      </c>
      <c r="B31" s="9" t="s">
        <v>1113</v>
      </c>
      <c r="C31" s="9"/>
      <c r="D31" s="9"/>
      <c r="E31" s="9"/>
      <c r="F31" s="9"/>
      <c r="G31" s="9"/>
      <c r="H31" s="9"/>
    </row>
    <row r="32" customFormat="false" ht="31.5" hidden="false" customHeight="true" outlineLevel="0" collapsed="false">
      <c r="A32" s="34" t="s">
        <v>1114</v>
      </c>
      <c r="B32" s="9" t="s">
        <v>1115</v>
      </c>
      <c r="C32" s="9"/>
      <c r="D32" s="9"/>
      <c r="E32" s="9"/>
      <c r="F32" s="9"/>
      <c r="G32" s="9"/>
      <c r="H32" s="9"/>
    </row>
    <row r="33" customFormat="false" ht="31.5" hidden="false" customHeight="true" outlineLevel="0" collapsed="false">
      <c r="A33" s="34" t="s">
        <v>1116</v>
      </c>
      <c r="B33" s="9" t="s">
        <v>1117</v>
      </c>
      <c r="C33" s="9"/>
      <c r="D33" s="9"/>
      <c r="E33" s="9"/>
      <c r="F33" s="9"/>
      <c r="G33" s="9"/>
      <c r="H33" s="9"/>
    </row>
    <row r="34" customFormat="false" ht="31.5" hidden="false" customHeight="true" outlineLevel="0" collapsed="false">
      <c r="A34" s="34" t="s">
        <v>1118</v>
      </c>
      <c r="B34" s="9" t="s">
        <v>1119</v>
      </c>
      <c r="C34" s="9"/>
      <c r="D34" s="9"/>
      <c r="E34" s="9"/>
      <c r="F34" s="9"/>
      <c r="G34" s="9"/>
      <c r="H34" s="9"/>
    </row>
    <row r="35" customFormat="false" ht="31.5" hidden="false" customHeight="true" outlineLevel="0" collapsed="false">
      <c r="A35" s="34" t="s">
        <v>1120</v>
      </c>
      <c r="B35" s="9" t="s">
        <v>1121</v>
      </c>
      <c r="C35" s="9"/>
      <c r="D35" s="9"/>
      <c r="E35" s="9"/>
      <c r="F35" s="9"/>
      <c r="G35" s="9"/>
      <c r="H35" s="9"/>
    </row>
    <row r="36" customFormat="false" ht="31.5" hidden="false" customHeight="true" outlineLevel="0" collapsed="false">
      <c r="A36" s="34" t="s">
        <v>1122</v>
      </c>
      <c r="B36" s="9" t="s">
        <v>1123</v>
      </c>
      <c r="C36" s="9"/>
      <c r="D36" s="9"/>
      <c r="E36" s="9"/>
      <c r="F36" s="9"/>
      <c r="G36" s="9"/>
      <c r="H36" s="9"/>
    </row>
  </sheetData>
  <mergeCells count="13">
    <mergeCell ref="A1:H1"/>
    <mergeCell ref="A2:H2"/>
    <mergeCell ref="A26:H26"/>
    <mergeCell ref="B27:H27"/>
    <mergeCell ref="B28:H28"/>
    <mergeCell ref="B29:H29"/>
    <mergeCell ref="B30:H30"/>
    <mergeCell ref="B31:H31"/>
    <mergeCell ref="B32:H32"/>
    <mergeCell ref="B33:H33"/>
    <mergeCell ref="B34:H34"/>
    <mergeCell ref="B35:H35"/>
    <mergeCell ref="B36:H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4" min="3" style="0" width="46"/>
    <col collapsed="false" customWidth="true" hidden="false" outlineLevel="0" max="5" min="5" style="0" width="20"/>
  </cols>
  <sheetData>
    <row r="1" customFormat="false" ht="27.75" hidden="false" customHeight="true" outlineLevel="0" collapsed="false">
      <c r="A1" s="1" t="s">
        <v>1124</v>
      </c>
      <c r="B1" s="1"/>
      <c r="C1" s="1"/>
      <c r="D1" s="1"/>
      <c r="E1" s="1"/>
    </row>
    <row r="2" customFormat="false" ht="15" hidden="false" customHeight="false" outlineLevel="0" collapsed="false">
      <c r="A2" s="35" t="s">
        <v>1125</v>
      </c>
      <c r="B2" s="35"/>
      <c r="C2" s="35"/>
      <c r="D2" s="35"/>
      <c r="E2" s="35"/>
    </row>
    <row r="4" customFormat="false" ht="25.5" hidden="false" customHeight="true" outlineLevel="0" collapsed="false">
      <c r="A4" s="7" t="s">
        <v>1126</v>
      </c>
      <c r="B4" s="7" t="s">
        <v>1127</v>
      </c>
      <c r="C4" s="7" t="s">
        <v>1128</v>
      </c>
      <c r="D4" s="7" t="s">
        <v>1129</v>
      </c>
      <c r="E4" s="7" t="s">
        <v>1130</v>
      </c>
    </row>
    <row r="5" customFormat="false" ht="78" hidden="false" customHeight="true" outlineLevel="0" collapsed="false">
      <c r="A5" s="13" t="n">
        <v>1</v>
      </c>
      <c r="B5" s="36" t="s">
        <v>1131</v>
      </c>
      <c r="C5" s="37" t="s">
        <v>1132</v>
      </c>
      <c r="D5" s="9" t="s">
        <v>1133</v>
      </c>
      <c r="E5" s="38" t="s">
        <v>1134</v>
      </c>
    </row>
    <row r="6" customFormat="false" ht="78" hidden="false" customHeight="true" outlineLevel="0" collapsed="false">
      <c r="A6" s="13" t="n">
        <v>2</v>
      </c>
      <c r="B6" s="36" t="s">
        <v>1135</v>
      </c>
      <c r="C6" s="37" t="s">
        <v>1136</v>
      </c>
      <c r="D6" s="9" t="s">
        <v>1137</v>
      </c>
      <c r="E6" s="39" t="s">
        <v>1138</v>
      </c>
    </row>
    <row r="7" customFormat="false" ht="78" hidden="false" customHeight="true" outlineLevel="0" collapsed="false">
      <c r="A7" s="13" t="n">
        <v>3</v>
      </c>
      <c r="B7" s="36" t="s">
        <v>1139</v>
      </c>
      <c r="C7" s="37" t="s">
        <v>1140</v>
      </c>
      <c r="D7" s="9" t="s">
        <v>1141</v>
      </c>
      <c r="E7" s="38" t="s">
        <v>1134</v>
      </c>
    </row>
    <row r="8" customFormat="false" ht="78" hidden="false" customHeight="true" outlineLevel="0" collapsed="false">
      <c r="A8" s="13" t="n">
        <v>4</v>
      </c>
      <c r="B8" s="36" t="s">
        <v>1142</v>
      </c>
      <c r="C8" s="37" t="s">
        <v>1143</v>
      </c>
      <c r="D8" s="9" t="s">
        <v>1144</v>
      </c>
      <c r="E8" s="38" t="s">
        <v>1134</v>
      </c>
    </row>
    <row r="9" customFormat="false" ht="78" hidden="false" customHeight="true" outlineLevel="0" collapsed="false">
      <c r="A9" s="13" t="n">
        <v>5</v>
      </c>
      <c r="B9" s="36" t="s">
        <v>1145</v>
      </c>
      <c r="C9" s="37" t="s">
        <v>1146</v>
      </c>
      <c r="D9" s="9" t="s">
        <v>1147</v>
      </c>
      <c r="E9" s="40" t="s">
        <v>1148</v>
      </c>
    </row>
    <row r="10" customFormat="false" ht="78" hidden="false" customHeight="true" outlineLevel="0" collapsed="false">
      <c r="A10" s="13" t="n">
        <v>6</v>
      </c>
      <c r="B10" s="36" t="s">
        <v>1149</v>
      </c>
      <c r="C10" s="37" t="s">
        <v>1150</v>
      </c>
      <c r="D10" s="9" t="s">
        <v>1151</v>
      </c>
      <c r="E10" s="39" t="s">
        <v>1138</v>
      </c>
    </row>
    <row r="11" customFormat="false" ht="78" hidden="false" customHeight="true" outlineLevel="0" collapsed="false">
      <c r="A11" s="13" t="n">
        <v>7</v>
      </c>
      <c r="B11" s="36" t="s">
        <v>1152</v>
      </c>
      <c r="C11" s="37" t="s">
        <v>1153</v>
      </c>
      <c r="D11" s="9" t="s">
        <v>1154</v>
      </c>
      <c r="E11" s="38" t="s">
        <v>1134</v>
      </c>
    </row>
    <row r="12" customFormat="false" ht="78" hidden="false" customHeight="true" outlineLevel="0" collapsed="false">
      <c r="A12" s="13" t="n">
        <v>8</v>
      </c>
      <c r="B12" s="36" t="s">
        <v>1155</v>
      </c>
      <c r="C12" s="37" t="s">
        <v>1156</v>
      </c>
      <c r="D12" s="9" t="s">
        <v>1157</v>
      </c>
      <c r="E12" s="38" t="s">
        <v>1134</v>
      </c>
    </row>
    <row r="13" customFormat="false" ht="78" hidden="false" customHeight="true" outlineLevel="0" collapsed="false">
      <c r="A13" s="13" t="n">
        <v>9</v>
      </c>
      <c r="B13" s="36" t="s">
        <v>1158</v>
      </c>
      <c r="C13" s="37" t="s">
        <v>1159</v>
      </c>
      <c r="D13" s="9" t="s">
        <v>1160</v>
      </c>
      <c r="E13" s="41" t="s">
        <v>1161</v>
      </c>
    </row>
    <row r="14" customFormat="false" ht="78" hidden="false" customHeight="true" outlineLevel="0" collapsed="false">
      <c r="A14" s="13" t="n">
        <v>10</v>
      </c>
      <c r="B14" s="36" t="s">
        <v>1162</v>
      </c>
      <c r="C14" s="37" t="s">
        <v>1163</v>
      </c>
      <c r="D14" s="9" t="s">
        <v>1164</v>
      </c>
      <c r="E14" s="38" t="s">
        <v>1134</v>
      </c>
    </row>
    <row r="15" customFormat="false" ht="78" hidden="false" customHeight="true" outlineLevel="0" collapsed="false">
      <c r="A15" s="13" t="n">
        <v>11</v>
      </c>
      <c r="B15" s="36" t="s">
        <v>1165</v>
      </c>
      <c r="C15" s="37" t="s">
        <v>1166</v>
      </c>
      <c r="D15" s="9" t="s">
        <v>1167</v>
      </c>
      <c r="E15" s="39" t="s">
        <v>1138</v>
      </c>
    </row>
    <row r="16" customFormat="false" ht="78" hidden="false" customHeight="true" outlineLevel="0" collapsed="false">
      <c r="A16" s="13" t="n">
        <v>12</v>
      </c>
      <c r="B16" s="36" t="s">
        <v>1168</v>
      </c>
      <c r="C16" s="37" t="s">
        <v>1169</v>
      </c>
      <c r="D16" s="9" t="s">
        <v>1170</v>
      </c>
      <c r="E16" s="41" t="s">
        <v>1161</v>
      </c>
    </row>
    <row r="17" customFormat="false" ht="78" hidden="false" customHeight="true" outlineLevel="0" collapsed="false">
      <c r="A17" s="13" t="n">
        <v>13</v>
      </c>
      <c r="B17" s="36" t="s">
        <v>1171</v>
      </c>
      <c r="C17" s="37" t="s">
        <v>1172</v>
      </c>
      <c r="D17" s="9" t="s">
        <v>1173</v>
      </c>
      <c r="E17" s="38" t="s">
        <v>1134</v>
      </c>
    </row>
    <row r="18" customFormat="false" ht="78" hidden="false" customHeight="true" outlineLevel="0" collapsed="false">
      <c r="A18" s="13" t="n">
        <v>14</v>
      </c>
      <c r="B18" s="36" t="s">
        <v>1174</v>
      </c>
      <c r="C18" s="37" t="s">
        <v>1175</v>
      </c>
      <c r="D18" s="9" t="s">
        <v>1176</v>
      </c>
      <c r="E18" s="39" t="s">
        <v>1138</v>
      </c>
    </row>
    <row r="19" customFormat="false" ht="78" hidden="false" customHeight="true" outlineLevel="0" collapsed="false">
      <c r="A19" s="13" t="n">
        <v>15</v>
      </c>
      <c r="B19" s="36" t="s">
        <v>1177</v>
      </c>
      <c r="C19" s="37" t="s">
        <v>1178</v>
      </c>
      <c r="D19" s="9" t="s">
        <v>1179</v>
      </c>
      <c r="E19" s="40" t="s">
        <v>1148</v>
      </c>
    </row>
    <row r="20" customFormat="false" ht="78" hidden="false" customHeight="true" outlineLevel="0" collapsed="false">
      <c r="A20" s="13" t="n">
        <v>16</v>
      </c>
      <c r="B20" s="36" t="s">
        <v>1180</v>
      </c>
      <c r="C20" s="37" t="s">
        <v>1181</v>
      </c>
      <c r="D20" s="9" t="s">
        <v>1182</v>
      </c>
      <c r="E20" s="41" t="s">
        <v>1161</v>
      </c>
    </row>
    <row r="21" customFormat="false" ht="78" hidden="false" customHeight="true" outlineLevel="0" collapsed="false">
      <c r="A21" s="13" t="n">
        <v>17</v>
      </c>
      <c r="B21" s="36" t="s">
        <v>1183</v>
      </c>
      <c r="C21" s="37" t="s">
        <v>1184</v>
      </c>
      <c r="D21" s="9" t="s">
        <v>1185</v>
      </c>
      <c r="E21" s="41" t="s">
        <v>1161</v>
      </c>
    </row>
    <row r="22" customFormat="false" ht="78" hidden="false" customHeight="true" outlineLevel="0" collapsed="false">
      <c r="A22" s="13" t="n">
        <v>18</v>
      </c>
      <c r="B22" s="36" t="s">
        <v>1186</v>
      </c>
      <c r="C22" s="37" t="s">
        <v>1187</v>
      </c>
      <c r="D22" s="9" t="s">
        <v>1188</v>
      </c>
      <c r="E22" s="38" t="s">
        <v>1134</v>
      </c>
    </row>
    <row r="23" customFormat="false" ht="78" hidden="false" customHeight="true" outlineLevel="0" collapsed="false">
      <c r="A23" s="13" t="n">
        <v>19</v>
      </c>
      <c r="B23" s="36" t="s">
        <v>1189</v>
      </c>
      <c r="C23" s="37" t="s">
        <v>1190</v>
      </c>
      <c r="D23" s="9" t="s">
        <v>1191</v>
      </c>
      <c r="E23" s="38" t="s">
        <v>1134</v>
      </c>
    </row>
    <row r="24" customFormat="false" ht="78" hidden="false" customHeight="true" outlineLevel="0" collapsed="false">
      <c r="A24" s="13" t="n">
        <v>20</v>
      </c>
      <c r="B24" s="36" t="s">
        <v>1192</v>
      </c>
      <c r="C24" s="37" t="s">
        <v>1193</v>
      </c>
      <c r="D24" s="9" t="s">
        <v>1194</v>
      </c>
      <c r="E24" s="38" t="s">
        <v>1134</v>
      </c>
    </row>
    <row r="25" customFormat="false" ht="78" hidden="false" customHeight="true" outlineLevel="0" collapsed="false">
      <c r="A25" s="13" t="n">
        <v>21</v>
      </c>
      <c r="B25" s="36" t="s">
        <v>1195</v>
      </c>
      <c r="C25" s="37" t="s">
        <v>1196</v>
      </c>
      <c r="D25" s="9" t="s">
        <v>1197</v>
      </c>
      <c r="E25" s="39" t="s">
        <v>1138</v>
      </c>
    </row>
    <row r="26" customFormat="false" ht="78" hidden="false" customHeight="true" outlineLevel="0" collapsed="false">
      <c r="A26" s="13" t="n">
        <v>22</v>
      </c>
      <c r="B26" s="36" t="s">
        <v>1198</v>
      </c>
      <c r="C26" s="37" t="s">
        <v>1199</v>
      </c>
      <c r="D26" s="9" t="s">
        <v>1200</v>
      </c>
      <c r="E26" s="38" t="s">
        <v>1134</v>
      </c>
    </row>
    <row r="27" customFormat="false" ht="78" hidden="false" customHeight="true" outlineLevel="0" collapsed="false">
      <c r="A27" s="13" t="n">
        <v>23</v>
      </c>
      <c r="B27" s="36" t="s">
        <v>1201</v>
      </c>
      <c r="C27" s="37" t="s">
        <v>1202</v>
      </c>
      <c r="D27" s="9" t="s">
        <v>1203</v>
      </c>
      <c r="E27" s="39" t="s">
        <v>1138</v>
      </c>
    </row>
    <row r="28" customFormat="false" ht="78" hidden="false" customHeight="true" outlineLevel="0" collapsed="false">
      <c r="A28" s="13" t="n">
        <v>24</v>
      </c>
      <c r="B28" s="36" t="s">
        <v>1204</v>
      </c>
      <c r="C28" s="37" t="s">
        <v>1205</v>
      </c>
      <c r="D28" s="9" t="s">
        <v>1206</v>
      </c>
      <c r="E28" s="38" t="s">
        <v>1134</v>
      </c>
    </row>
    <row r="29" customFormat="false" ht="78" hidden="false" customHeight="true" outlineLevel="0" collapsed="false">
      <c r="A29" s="13" t="n">
        <v>25</v>
      </c>
      <c r="B29" s="36" t="s">
        <v>1207</v>
      </c>
      <c r="C29" s="37" t="s">
        <v>1208</v>
      </c>
      <c r="D29" s="9" t="s">
        <v>1209</v>
      </c>
      <c r="E29" s="38" t="s">
        <v>1134</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2"/>
    <col collapsed="false" customWidth="true" hidden="false" outlineLevel="0" max="3" min="3" style="0" width="110"/>
  </cols>
  <sheetData>
    <row r="1" customFormat="false" ht="27.75" hidden="false" customHeight="true" outlineLevel="0" collapsed="false">
      <c r="A1" s="1" t="s">
        <v>1210</v>
      </c>
      <c r="B1" s="1"/>
      <c r="C1" s="1"/>
    </row>
    <row r="4" customFormat="false" ht="21.75" hidden="false" customHeight="true" outlineLevel="0" collapsed="false">
      <c r="A4" s="42" t="s">
        <v>1211</v>
      </c>
      <c r="B4" s="42"/>
      <c r="C4" s="42"/>
    </row>
    <row r="5" customFormat="false" ht="33.75" hidden="false" customHeight="true" outlineLevel="0" collapsed="false">
      <c r="A5" s="43"/>
      <c r="B5" s="34" t="s">
        <v>9</v>
      </c>
      <c r="C5" s="9" t="s">
        <v>1212</v>
      </c>
    </row>
    <row r="6" customFormat="false" ht="33.75" hidden="false" customHeight="true" outlineLevel="0" collapsed="false">
      <c r="A6" s="43"/>
      <c r="B6" s="34" t="s">
        <v>1213</v>
      </c>
      <c r="C6" s="9" t="s">
        <v>1214</v>
      </c>
    </row>
    <row r="7" customFormat="false" ht="33.75" hidden="false" customHeight="true" outlineLevel="0" collapsed="false">
      <c r="A7" s="43"/>
      <c r="B7" s="34" t="s">
        <v>1215</v>
      </c>
      <c r="C7" s="9" t="s">
        <v>1216</v>
      </c>
    </row>
    <row r="8" customFormat="false" ht="33.75" hidden="false" customHeight="true" outlineLevel="0" collapsed="false">
      <c r="A8" s="43"/>
      <c r="B8" s="34" t="s">
        <v>1217</v>
      </c>
      <c r="C8" s="9" t="s">
        <v>1218</v>
      </c>
    </row>
    <row r="9" customFormat="false" ht="33.75" hidden="false" customHeight="true" outlineLevel="0" collapsed="false">
      <c r="A9" s="43"/>
      <c r="B9" s="34" t="s">
        <v>1219</v>
      </c>
      <c r="C9" s="9" t="s">
        <v>1220</v>
      </c>
    </row>
    <row r="10" customFormat="false" ht="33.75" hidden="false" customHeight="true" outlineLevel="0" collapsed="false">
      <c r="A10" s="43"/>
      <c r="B10" s="34" t="s">
        <v>1221</v>
      </c>
      <c r="C10" s="9" t="s">
        <v>1222</v>
      </c>
    </row>
    <row r="12" customFormat="false" ht="21.75" hidden="false" customHeight="true" outlineLevel="0" collapsed="false">
      <c r="A12" s="42" t="s">
        <v>1223</v>
      </c>
      <c r="B12" s="42"/>
      <c r="C12" s="42"/>
    </row>
    <row r="13" customFormat="false" ht="33.75" hidden="false" customHeight="true" outlineLevel="0" collapsed="false">
      <c r="A13" s="43"/>
      <c r="B13" s="34" t="s">
        <v>1224</v>
      </c>
      <c r="C13" s="9" t="s">
        <v>1225</v>
      </c>
    </row>
    <row r="14" customFormat="false" ht="33.75" hidden="false" customHeight="true" outlineLevel="0" collapsed="false">
      <c r="A14" s="43"/>
      <c r="B14" s="34" t="s">
        <v>16</v>
      </c>
      <c r="C14" s="9" t="s">
        <v>1226</v>
      </c>
    </row>
    <row r="15" customFormat="false" ht="33.75" hidden="false" customHeight="true" outlineLevel="0" collapsed="false">
      <c r="A15" s="43"/>
      <c r="B15" s="34" t="s">
        <v>1227</v>
      </c>
      <c r="C15" s="9" t="s">
        <v>1228</v>
      </c>
    </row>
    <row r="16" customFormat="false" ht="33.75" hidden="false" customHeight="true" outlineLevel="0" collapsed="false">
      <c r="A16" s="43"/>
      <c r="B16" s="34" t="s">
        <v>1229</v>
      </c>
      <c r="C16" s="9" t="s">
        <v>1230</v>
      </c>
    </row>
    <row r="17" customFormat="false" ht="33.75" hidden="false" customHeight="true" outlineLevel="0" collapsed="false">
      <c r="A17" s="43"/>
      <c r="B17" s="34" t="s">
        <v>1231</v>
      </c>
      <c r="C17" s="9" t="s">
        <v>1232</v>
      </c>
    </row>
    <row r="19" customFormat="false" ht="21.75" hidden="false" customHeight="true" outlineLevel="0" collapsed="false">
      <c r="A19" s="42" t="s">
        <v>1233</v>
      </c>
      <c r="B19" s="42"/>
      <c r="C19" s="42"/>
    </row>
    <row r="20" customFormat="false" ht="33.75" hidden="false" customHeight="true" outlineLevel="0" collapsed="false">
      <c r="A20" s="43"/>
      <c r="B20" s="34" t="s">
        <v>1234</v>
      </c>
      <c r="C20" s="9" t="s">
        <v>1235</v>
      </c>
    </row>
    <row r="21" customFormat="false" ht="33.75" hidden="false" customHeight="true" outlineLevel="0" collapsed="false">
      <c r="A21" s="43"/>
      <c r="B21" s="34" t="s">
        <v>1236</v>
      </c>
      <c r="C21" s="9" t="s">
        <v>1237</v>
      </c>
    </row>
    <row r="22" customFormat="false" ht="33.75" hidden="false" customHeight="true" outlineLevel="0" collapsed="false">
      <c r="A22" s="43"/>
      <c r="B22" s="34" t="s">
        <v>1238</v>
      </c>
      <c r="C22" s="9" t="s">
        <v>1239</v>
      </c>
    </row>
    <row r="23" customFormat="false" ht="33.75" hidden="false" customHeight="true" outlineLevel="0" collapsed="false">
      <c r="A23" s="43"/>
      <c r="B23" s="34" t="s">
        <v>1240</v>
      </c>
      <c r="C23" s="9" t="s">
        <v>1241</v>
      </c>
    </row>
    <row r="24" customFormat="false" ht="33.75" hidden="false" customHeight="true" outlineLevel="0" collapsed="false">
      <c r="A24" s="43"/>
      <c r="B24" s="34" t="s">
        <v>1242</v>
      </c>
      <c r="C24" s="9" t="s">
        <v>1243</v>
      </c>
    </row>
    <row r="25" customFormat="false" ht="33.75" hidden="false" customHeight="true" outlineLevel="0" collapsed="false">
      <c r="A25" s="43"/>
      <c r="B25" s="34" t="s">
        <v>1244</v>
      </c>
      <c r="C25" s="9" t="s">
        <v>1245</v>
      </c>
    </row>
    <row r="26" customFormat="false" ht="33.75" hidden="false" customHeight="true" outlineLevel="0" collapsed="false">
      <c r="A26" s="43"/>
      <c r="B26" s="34" t="s">
        <v>1246</v>
      </c>
      <c r="C26" s="9" t="s">
        <v>1247</v>
      </c>
    </row>
    <row r="27" customFormat="false" ht="33.75" hidden="false" customHeight="true" outlineLevel="0" collapsed="false">
      <c r="A27" s="43"/>
      <c r="B27" s="34" t="s">
        <v>1248</v>
      </c>
      <c r="C27" s="9" t="s">
        <v>1249</v>
      </c>
    </row>
    <row r="29" customFormat="false" ht="21.75" hidden="false" customHeight="true" outlineLevel="0" collapsed="false">
      <c r="A29" s="42" t="s">
        <v>1250</v>
      </c>
      <c r="B29" s="42"/>
      <c r="C29" s="42"/>
    </row>
    <row r="30" customFormat="false" ht="33.75" hidden="false" customHeight="true" outlineLevel="0" collapsed="false">
      <c r="A30" s="43"/>
      <c r="B30" s="34" t="s">
        <v>1251</v>
      </c>
      <c r="C30" s="9" t="s">
        <v>1252</v>
      </c>
    </row>
    <row r="31" customFormat="false" ht="33.75" hidden="false" customHeight="true" outlineLevel="0" collapsed="false">
      <c r="A31" s="43"/>
      <c r="B31" s="34" t="s">
        <v>1253</v>
      </c>
      <c r="C31" s="9" t="s">
        <v>1254</v>
      </c>
    </row>
    <row r="32" customFormat="false" ht="33.75" hidden="false" customHeight="true" outlineLevel="0" collapsed="false">
      <c r="A32" s="43"/>
      <c r="B32" s="34" t="s">
        <v>1255</v>
      </c>
      <c r="C32" s="9" t="s">
        <v>1256</v>
      </c>
    </row>
    <row r="33" customFormat="false" ht="33.75" hidden="false" customHeight="true" outlineLevel="0" collapsed="false">
      <c r="A33" s="43"/>
      <c r="B33" s="34" t="s">
        <v>1257</v>
      </c>
      <c r="C33" s="9" t="s">
        <v>1258</v>
      </c>
    </row>
    <row r="34" customFormat="false" ht="33.75" hidden="false" customHeight="true" outlineLevel="0" collapsed="false">
      <c r="A34" s="43"/>
      <c r="B34" s="34" t="s">
        <v>1259</v>
      </c>
      <c r="C34" s="9" t="s">
        <v>1260</v>
      </c>
    </row>
    <row r="36" customFormat="false" ht="21.75" hidden="false" customHeight="true" outlineLevel="0" collapsed="false">
      <c r="A36" s="42" t="s">
        <v>1261</v>
      </c>
      <c r="B36" s="42"/>
      <c r="C36" s="42"/>
    </row>
    <row r="37" customFormat="false" ht="33.75" hidden="false" customHeight="true" outlineLevel="0" collapsed="false">
      <c r="A37" s="43"/>
      <c r="B37" s="34" t="s">
        <v>1262</v>
      </c>
      <c r="C37" s="9" t="s">
        <v>1263</v>
      </c>
    </row>
    <row r="38" customFormat="false" ht="33.75" hidden="false" customHeight="true" outlineLevel="0" collapsed="false">
      <c r="A38" s="43"/>
      <c r="B38" s="34" t="s">
        <v>1264</v>
      </c>
      <c r="C38" s="9" t="s">
        <v>1265</v>
      </c>
    </row>
    <row r="39" customFormat="false" ht="33.75" hidden="false" customHeight="true" outlineLevel="0" collapsed="false">
      <c r="A39" s="43"/>
      <c r="B39" s="34" t="s">
        <v>1266</v>
      </c>
      <c r="C39" s="9" t="s">
        <v>1267</v>
      </c>
    </row>
    <row r="40" customFormat="false" ht="33.75" hidden="false" customHeight="true" outlineLevel="0" collapsed="false">
      <c r="A40" s="43"/>
      <c r="B40" s="34" t="s">
        <v>1268</v>
      </c>
      <c r="C40" s="9" t="s">
        <v>1269</v>
      </c>
    </row>
    <row r="41" customFormat="false" ht="33.75" hidden="false" customHeight="true" outlineLevel="0" collapsed="false">
      <c r="A41" s="43"/>
      <c r="B41" s="34" t="s">
        <v>1270</v>
      </c>
      <c r="C41" s="9" t="s">
        <v>1271</v>
      </c>
    </row>
    <row r="42" customFormat="false" ht="33.75" hidden="false" customHeight="true" outlineLevel="0" collapsed="false">
      <c r="A42" s="43"/>
      <c r="B42" s="34" t="s">
        <v>1272</v>
      </c>
      <c r="C42" s="9" t="s">
        <v>1273</v>
      </c>
    </row>
    <row r="44" customFormat="false" ht="21.75" hidden="false" customHeight="true" outlineLevel="0" collapsed="false">
      <c r="A44" s="42" t="s">
        <v>1274</v>
      </c>
      <c r="B44" s="42"/>
      <c r="C44" s="42"/>
    </row>
    <row r="45" customFormat="false" ht="33.75" hidden="false" customHeight="true" outlineLevel="0" collapsed="false">
      <c r="A45" s="43"/>
      <c r="B45" s="34" t="s">
        <v>1275</v>
      </c>
      <c r="C45" s="9" t="s">
        <v>1276</v>
      </c>
    </row>
    <row r="46" customFormat="false" ht="33.75" hidden="false" customHeight="true" outlineLevel="0" collapsed="false">
      <c r="A46" s="43"/>
      <c r="B46" s="34" t="s">
        <v>1277</v>
      </c>
      <c r="C46" s="9" t="s">
        <v>1278</v>
      </c>
    </row>
    <row r="47" customFormat="false" ht="33.75" hidden="false" customHeight="true" outlineLevel="0" collapsed="false">
      <c r="A47" s="43"/>
      <c r="B47" s="34" t="s">
        <v>1279</v>
      </c>
      <c r="C47" s="9" t="s">
        <v>1280</v>
      </c>
    </row>
    <row r="48" customFormat="false" ht="33.75" hidden="false" customHeight="true" outlineLevel="0" collapsed="false">
      <c r="A48" s="43"/>
      <c r="B48" s="34" t="s">
        <v>1281</v>
      </c>
      <c r="C48" s="9" t="s">
        <v>1282</v>
      </c>
    </row>
    <row r="49" customFormat="false" ht="33.75" hidden="false" customHeight="true" outlineLevel="0" collapsed="false">
      <c r="A49" s="43"/>
      <c r="B49" s="34" t="s">
        <v>1283</v>
      </c>
      <c r="C49" s="9" t="s">
        <v>1284</v>
      </c>
    </row>
  </sheetData>
  <mergeCells count="7">
    <mergeCell ref="A1:C1"/>
    <mergeCell ref="A4:C4"/>
    <mergeCell ref="A12:C12"/>
    <mergeCell ref="A19:C19"/>
    <mergeCell ref="A29:C29"/>
    <mergeCell ref="A36:C36"/>
    <mergeCell ref="A44:C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2026-09-11T17:49:54Z</dcterms:created>
  <dc:creator>openpyxl</dc:creator>
  <dc:description/>
  <dc:language>en-US</dc:language>
  <cp:lastModifiedBy/>
  <dcterms:modified xsi:type="dcterms:W3CDTF">2026-09-11T17:49:55Z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